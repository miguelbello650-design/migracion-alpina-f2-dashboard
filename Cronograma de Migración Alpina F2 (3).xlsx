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xr:revisionPtr revIDLastSave="0" documentId="8_{59A10FF7-CFC8-49F6-B0E8-64EB600776CF}" xr6:coauthVersionLast="47" xr6:coauthVersionMax="47" xr10:uidLastSave="{00000000-0000-0000-0000-000000000000}"/>
  <bookViews>
    <workbookView xWindow="240" yWindow="105" windowWidth="14805" windowHeight="8010" activeTab="3" xr2:uid="{00000000-000D-0000-FFFF-FFFF00000000}"/>
  </bookViews>
  <sheets>
    <sheet name="% Avance" sheetId="3" r:id="rId1"/>
    <sheet name="Nova" sheetId="1" r:id="rId2"/>
    <sheet name="Feli" sheetId="2" r:id="rId3"/>
    <sheet name="Robotin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c r="G11" i="3"/>
  <c r="D17" i="3"/>
  <c r="D13" i="3"/>
  <c r="J5" i="3"/>
  <c r="J10" i="3"/>
  <c r="G9" i="3" a="1"/>
  <c r="G9" i="3"/>
  <c r="G5" i="3"/>
  <c r="D15" i="3" a="1"/>
  <c r="D15" i="3"/>
  <c r="D11" i="3"/>
  <c r="D12" i="3"/>
  <c r="J4" i="3"/>
  <c r="D10" i="3"/>
  <c r="J8" i="3" a="1"/>
  <c r="J8" i="3"/>
  <c r="D9" i="3"/>
  <c r="D8" i="3"/>
  <c r="D7" i="3"/>
  <c r="D6" i="3"/>
  <c r="J3" i="3"/>
  <c r="D5" i="3"/>
  <c r="D4" i="3"/>
  <c r="G3" i="3"/>
  <c r="F12" i="2"/>
  <c r="D3" i="3"/>
  <c r="F2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<sst xmlns="http://schemas.openxmlformats.org/spreadsheetml/2006/main" count="317" uniqueCount="156">
  <si>
    <t>BOT NOVA</t>
  </si>
  <si>
    <t>% AVANCE</t>
  </si>
  <si>
    <t>BOT FELI</t>
  </si>
  <si>
    <t>BOT ROBOTINA</t>
  </si>
  <si>
    <t>Fase 0 – Levantamiento</t>
  </si>
  <si>
    <t>Estructura Base</t>
  </si>
  <si>
    <t>Estructura Base | Core/Framework</t>
  </si>
  <si>
    <t>FELI</t>
  </si>
  <si>
    <t>Gestión Outlook</t>
  </si>
  <si>
    <t>Pruebas</t>
  </si>
  <si>
    <t>Gestión Usuarios | Active Directory</t>
  </si>
  <si>
    <t>Gestión documental (Local): rutas, movimientos, plantillas y control de estado</t>
  </si>
  <si>
    <t>Documentación</t>
  </si>
  <si>
    <t>Cierre</t>
  </si>
  <si>
    <t>SAP VA01</t>
  </si>
  <si>
    <t>Producción</t>
  </si>
  <si>
    <t>SAP ZSD_NC_Valor</t>
  </si>
  <si>
    <t>% Total de Avance</t>
  </si>
  <si>
    <t>SAP VA02</t>
  </si>
  <si>
    <t>SAP VF01</t>
  </si>
  <si>
    <t>Consumo Horas de Desarrollo</t>
  </si>
  <si>
    <t>Grabación + Consolidado</t>
  </si>
  <si>
    <t>Reporte ejecución + Insight</t>
  </si>
  <si>
    <t>BOT</t>
  </si>
  <si>
    <t>Actividad / Tarea</t>
  </si>
  <si>
    <t>Responsable</t>
  </si>
  <si>
    <t>Horas</t>
  </si>
  <si>
    <t>Días</t>
  </si>
  <si>
    <t>0. Revisión del PDD / reglas / criterios de aceptación</t>
  </si>
  <si>
    <t>2NV</t>
  </si>
  <si>
    <t>Se requiere un día adicional debido a que no se ha solucionado el error en las transacciones de SAP por la copia a Calidad</t>
  </si>
  <si>
    <t>No se avanza debido a que SAP Calidad no se encontraba estable</t>
  </si>
  <si>
    <t>Se requiere un día adicional para integrar toda las partes del flujo general</t>
  </si>
  <si>
    <t>No se logra la recepción de correos al configurado en el RPA y no se cuenta con clientes de SKU para hacer pruebas</t>
  </si>
  <si>
    <t>No se logra avanzar ya que no se comparte Notas para realizar la consulta en SAP Producción</t>
  </si>
  <si>
    <t>1. Revisión de ambientes y conexiones (SAP / Carpetas / Outlook)</t>
  </si>
  <si>
    <t>2. Parametrización de rutas, buzones, variables y catálogos</t>
  </si>
  <si>
    <t>3. Estructura de carpetas y archivos de trabajo (input/output/logs/plantillas)</t>
  </si>
  <si>
    <t>4. Rutina de logs y evidencias (ACI, inicio/fin, errores)</t>
  </si>
  <si>
    <t>5. Notificaciones de error / estado (plantillas y destinatarios)</t>
  </si>
  <si>
    <t>1. Búsqueda de correos + validación de adjuntos</t>
  </si>
  <si>
    <t>2. Flujo de aprobación/rechazo (incl. reintentos y timeouts)</t>
  </si>
  <si>
    <t>3. Descarga adjuntos + registro/control de casos</t>
  </si>
  <si>
    <t>4. Guardado .EML, correlación (.xls y .msg), respuesta final en el mismo hilo y eliminación .msg</t>
  </si>
  <si>
    <t>5. Notificaciones de respuesta al solicitante</t>
  </si>
  <si>
    <t xml:space="preserve">1. Validación de archivos y movimiento Notas Solicitadas </t>
  </si>
  <si>
    <t>2. Clasificación SKU vs Marca + copia a plantillas + guardado /SKU o /Familia</t>
  </si>
  <si>
    <t>3. Control de duplicados / nombres / estructura esperada</t>
  </si>
  <si>
    <t>1. Creación OC/Nota Valor SKU en VA01 (cabecera+posiciones)</t>
  </si>
  <si>
    <t>2. Múltiples OC por archivo + validaciones (totales, mensajes SAP)</t>
  </si>
  <si>
    <t>3. Manejo de errores + capturas + reintentos</t>
  </si>
  <si>
    <t>1. Creación OC/Nota Valor Familia (ZSD_NC_Valor)</t>
  </si>
  <si>
    <t>2. Múltiples OC + validaciones + movimientos de archivos</t>
  </si>
  <si>
    <t>4. Actualizar consolidado (CSV/TABS) + reglas de negocio</t>
  </si>
  <si>
    <t>1. Consulta de nota y corregir errores en SAP modificando incorrectos</t>
  </si>
  <si>
    <t>1. Crear factura con valor nota</t>
  </si>
  <si>
    <t>1. Lectura de Notas Revisadas + preparación de lotes</t>
  </si>
  <si>
    <t>2. Actualizar consolidado DEFINITIVO del mes (CSV/TABS) + reglas de negocio</t>
  </si>
  <si>
    <t>3. Manejo de errores en ajuste de consolidado definitivo</t>
  </si>
  <si>
    <t>1. Envío correo final</t>
  </si>
  <si>
    <t>1. Pruebas unitarias + pruebas integrales</t>
  </si>
  <si>
    <t>2. Pruebas UAT</t>
  </si>
  <si>
    <t>2NV - ALPINA</t>
  </si>
  <si>
    <t>3. Documentación técnica (SDD + guía instalación + manual usuario)</t>
  </si>
  <si>
    <t>4. Aprobación de documentación (manual técnico y funcional y PDD)</t>
  </si>
  <si>
    <t>ALPINA</t>
  </si>
  <si>
    <t>5. Entrega de desarrollo al cliente (Capacitación)</t>
  </si>
  <si>
    <t>6. Re mapeo ID SAP</t>
  </si>
  <si>
    <t>Salida a Producción</t>
  </si>
  <si>
    <t>7. Estabilización y soporte inicial postproducción</t>
  </si>
  <si>
    <r>
      <rPr>
        <b/>
        <sz val="11"/>
        <color rgb="FF000000"/>
        <rFont val="Aptos Narrow"/>
        <scheme val="minor"/>
      </rPr>
      <t>Nota:</t>
    </r>
    <r>
      <rPr>
        <sz val="11"/>
        <color rgb="FF000000"/>
        <rFont val="Aptos Narrow"/>
        <scheme val="minor"/>
      </rPr>
      <t xml:space="preserve"> Realizando jornada de : 8 - 6 pm L-V</t>
    </r>
  </si>
  <si>
    <r>
      <rPr>
        <b/>
        <sz val="11"/>
        <color rgb="FF000000"/>
        <rFont val="Aptos Narrow"/>
        <scheme val="minor"/>
      </rPr>
      <t>Nota:</t>
    </r>
    <r>
      <rPr>
        <sz val="11"/>
        <color rgb="FF000000"/>
        <rFont val="Aptos Narrow"/>
        <scheme val="minor"/>
      </rPr>
      <t xml:space="preserve"> La actividad de ajustes finales puede no ir en caso de que en las pruebas UAT salga todo correctamente</t>
    </r>
  </si>
  <si>
    <r>
      <rPr>
        <b/>
        <sz val="11"/>
        <color rgb="FF000000"/>
        <rFont val="Aptos Narrow"/>
        <scheme val="minor"/>
      </rPr>
      <t>Nota:</t>
    </r>
    <r>
      <rPr>
        <sz val="11"/>
        <color rgb="FF000000"/>
        <rFont val="Aptos Narrow"/>
        <scheme val="minor"/>
      </rPr>
      <t xml:space="preserve"> La entrega del desarrollo al cliente y salida a producción  dependerá de todos los requisitos o precondiciones que se necesiten (Permisos adicionales, comites de cambio, etc.)</t>
    </r>
  </si>
  <si>
    <t>Revisión de ambientes y validación de accesos (SAP, correo, Excel, Rocketbot).</t>
  </si>
  <si>
    <t xml:space="preserve">Se encuentra en definición cual va a ser el flujo de inicio del RPA: 
1. Si lo realizará solo por Correo electronico 
2. Correo electronico y SAP
Sin esta definición no se puede inicar la tarea de descarga y validación de solicitudes </t>
  </si>
  <si>
    <t>Se solicita agregar logica de filtro por fecha en la busqueda de los casos en MDG</t>
  </si>
  <si>
    <t xml:space="preserve">Se necesita mas tiempo ya que se hizo actualización del diccionario en reglas, lo que afecta el Script </t>
  </si>
  <si>
    <t>No se a tenido respuesta por parte de Kevin con respecto a la regla en el Diccionario</t>
  </si>
  <si>
    <t>No se entrega el listado de almacenes definido en el diccionario</t>
  </si>
  <si>
    <t>Se necesita dos días adicionales debido a la estructura de SAP net weaver. Al ser web se ha complicado para la extracción de los ID. En este caso los ID son los xpath</t>
  </si>
  <si>
    <t xml:space="preserve">Se agrega un día adicional debido a que hasta hoy 22 de abril Kevin radicó casos en SAP </t>
  </si>
  <si>
    <t>Todavia no se tiene la configuración del correo electronico
Creación de casos en SAP
No funciona la recepción de correos en Outlook</t>
  </si>
  <si>
    <t>Se requiere dos dias adicionales de pruebas para controlar los errores que presenta SAP WEB</t>
  </si>
  <si>
    <t>Se requieren 5 días para incluir la logica de solicitud de extensión de materiales</t>
  </si>
  <si>
    <t>Creación de estructura de directorios y parametrización en Rocketbot.</t>
  </si>
  <si>
    <t>Configuración de logs, trazabilidad y manejo de errores personalizados.</t>
  </si>
  <si>
    <t>Configuración de notificaciones base (inicio, error y finalización).</t>
  </si>
  <si>
    <t>Descarga y validación solicitudes MDG/correo.</t>
  </si>
  <si>
    <t>Validación Excel multi-hoja.</t>
  </si>
  <si>
    <t>Diccionario de Configuraciones - Homologación de datos SAP</t>
  </si>
  <si>
    <t>Validación duplicados SAP MM03.</t>
  </si>
  <si>
    <t>Creación materiales SAP MM01.</t>
  </si>
  <si>
    <t>Validación material MM03.</t>
  </si>
  <si>
    <t>Clasificación y calidad.</t>
  </si>
  <si>
    <t>Validación contable y precios.</t>
  </si>
  <si>
    <t>Transacción MBC1.</t>
  </si>
  <si>
    <t>MM01 para extensión de centros (según PDD).</t>
  </si>
  <si>
    <t>Extensión centros y almacenes MMSC.</t>
  </si>
  <si>
    <t xml:space="preserve">Se requiere un día adicional ya que se debe corregir codigo </t>
  </si>
  <si>
    <t>Plantilla costos y envío.</t>
  </si>
  <si>
    <t>Gestión correos liberación costos.</t>
  </si>
  <si>
    <t>Consolidado resultados y ACI.</t>
  </si>
  <si>
    <t xml:space="preserve"> </t>
  </si>
  <si>
    <t>Notificaciones solicitantes.</t>
  </si>
  <si>
    <t>Pruebas unitarias e integración técnica.</t>
  </si>
  <si>
    <t>UAT con usuario funcional.</t>
  </si>
  <si>
    <t>Re mapeo ID SAP</t>
  </si>
  <si>
    <t>Ajustes finales y paso a producción.</t>
  </si>
  <si>
    <t>Documentación técnica (SDD, instalación).</t>
  </si>
  <si>
    <t>Documentación funcional y manual usuario.</t>
  </si>
  <si>
    <t>-</t>
  </si>
  <si>
    <t>Seguimiento postproducción y soporte inicial.</t>
  </si>
  <si>
    <t>Revisión documentación actual</t>
  </si>
  <si>
    <t>Retrazo ya que no se entrega Apí de consulta a Helix</t>
  </si>
  <si>
    <t>El equipo de Helix no ha compartido la documentación de las Apis</t>
  </si>
  <si>
    <t>Se agrega un día adicional debido a que se necesita confirmar y probar la API de personas para poder realizar la actualización de datos del usuario</t>
  </si>
  <si>
    <t>No se pueden iniciar pruebas hasta que se solucione el acceso a la API y creación del grupo de gestión en SAP Calidad</t>
  </si>
  <si>
    <t>Se agrega un día adicional a la actividad creación de usuario Susi ya que se debe realizar una creación de tabla de homologación y probar la API Personas</t>
  </si>
  <si>
    <t>Se requiere 3 días adicionales para completar de configurar la parte final del consumo de la API para dar cierre al ticket, Tener en cuenta que el equipo de Helix generó el espacio para el 12 de mayo a las 4 pm</t>
  </si>
  <si>
    <t>Se requiere día adicional ya que se han tenido pocos casos para probar 2 en total</t>
  </si>
  <si>
    <t>Revisión de ambiente: accesos, roles, pruebas de login</t>
  </si>
  <si>
    <t>Revisión de ambiente: SAP Logon, SNC/SSO, pruebas de login</t>
  </si>
  <si>
    <t>Revisión de ambiente: acceso web, formularios, roles</t>
  </si>
  <si>
    <t>Revisión de ambiente: acceso web, grupo resolutor, roles</t>
  </si>
  <si>
    <t>Revisión de ambiente: buzón, permisos, licencia E3 y envío cifrado</t>
  </si>
  <si>
    <t>Lectura de parámetros (Ingresos + Reglas + Maestro País/Sede)</t>
  </si>
  <si>
    <t>Creación estructura de directorios y plantillas internas</t>
  </si>
  <si>
    <t>Mantenimiento directorios y limpieza automática</t>
  </si>
  <si>
    <t>Rutina de logs e indicadores</t>
  </si>
  <si>
    <t>Notificaciones de error/estado (según reglas de correo)</t>
  </si>
  <si>
    <t>Control maestro del flujo principal</t>
  </si>
  <si>
    <t>Lectura del correo de Talento + descarga de adjuntos</t>
  </si>
  <si>
    <t>Diligenciamiento automático de Excel Ingresos</t>
  </si>
  <si>
    <t>Creación ticket BOT</t>
  </si>
  <si>
    <t>Asociación de ticket y guardar ID</t>
  </si>
  <si>
    <t>Búsqueda, activación y creación</t>
  </si>
  <si>
    <t>Configuración de propiedades y atributos</t>
  </si>
  <si>
    <t>Grupos/AZs/VPN/Sedes/Líderes (matrices)</t>
  </si>
  <si>
    <t>Consultas SU01D (jefe / validaciones)</t>
  </si>
  <si>
    <t>Crear/activar usuario con reglas PDD</t>
  </si>
  <si>
    <t>Asignar permiso BMC Helix (membresía)</t>
  </si>
  <si>
    <t>Actualizar correo en AD para licencias E3/E5</t>
  </si>
  <si>
    <t>Creación de usuario en SUSI</t>
  </si>
  <si>
    <t>Manejo de errores AD/SAP/DWP + evidencias</t>
  </si>
  <si>
    <t>Actualización Excel Ingresos (Estado/Tickets)</t>
  </si>
  <si>
    <t>Crear “Excel para el Robot” + eliminación final</t>
  </si>
  <si>
    <t>Cerrar ticket + adjuntar archivo + cambio de estado</t>
  </si>
  <si>
    <t>Enviar credenciales (2 correos) + notificación finalización</t>
  </si>
  <si>
    <t>Elaboración documentación SDD + manual usuario</t>
  </si>
  <si>
    <t>Pruebas unitarias</t>
  </si>
  <si>
    <t>UAT</t>
  </si>
  <si>
    <t>Re mapeo ID SAP a producción</t>
  </si>
  <si>
    <t>Aprobación de documentación (manual técnico y funcional y PDD)</t>
  </si>
  <si>
    <t>Entrega de desarrollo al cliente (Capacitación)</t>
  </si>
  <si>
    <t>Paso a producción (MDA + TI + validaciones)</t>
  </si>
  <si>
    <t>Soporte postproducción y estabilización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</si>
</sst>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9">
    <font>
      <sz val="11"/>
      <color theme="1"/>
      <name val="Aptos Narrow"/>
      <family val="2"/>
      <scheme val="minor"/>
    </font>
    <font>
      <b/>
      <sz val="11"/>
      <color theme="0"/>
      <name val="Roboto"/>
    </font>
    <font>
      <b/>
      <sz val="11"/>
      <color rgb="FF000000"/>
      <name val="Roboto"/>
    </font>
    <font>
      <sz val="11"/>
      <color rgb="FF000000"/>
      <name val="Roboto"/>
    </font>
    <font>
      <sz val="11"/>
      <color theme="1"/>
      <name val="Roboto"/>
    </font>
    <font>
      <b/>
      <sz val="11"/>
      <color rgb="FF000000"/>
      <name val="Aptos Narrow"/>
      <scheme val="minor"/>
    </font>
    <font>
      <sz val="11"/>
      <color rgb="FF000000"/>
      <name val="Aptos Narrow"/>
      <scheme val="minor"/>
    </font>
    <font>
      <b/>
      <sz val="11"/>
      <color theme="1"/>
      <name val="Aptos Narrow"/>
      <family val="2"/>
      <scheme val="minor"/>
    </font>
    <font>
      <sz val="11"/>
      <color rgb="FF000000"/>
      <name val="Calibri"/>
      <family val="2"/>
    </font>
  </fonts>
  <fills count="7">
    <fill>
      <patternFill patternType="none"/>
    </fill>
    <fill>
      <patternFill patternType="gray125"/>
    </fill>
    <fill>
      <patternFill patternType="solid">
        <fgColor theme="3"/>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dashed">
        <color rgb="FF000000"/>
      </left>
      <right style="dashed">
        <color rgb="FF000000"/>
      </right>
      <top style="dashed">
        <color rgb="FF000000"/>
      </top>
      <bottom/>
      <diagonal/>
    </border>
    <border>
      <left style="dashed">
        <color rgb="FF000000"/>
      </left>
      <right style="dashed">
        <color rgb="FF000000"/>
      </right>
      <top/>
      <bottom/>
      <diagonal/>
    </border>
    <border>
      <left style="dashed">
        <color rgb="FF000000"/>
      </left>
      <right style="dashed">
        <color rgb="FF000000"/>
      </right>
      <top/>
      <bottom style="dashed">
        <color rgb="FF000000"/>
      </bottom>
      <diagonal/>
    </border>
    <border>
      <left style="dashed">
        <color rgb="FF000000"/>
      </left>
      <right/>
      <top style="dashed">
        <color rgb="FF000000"/>
      </top>
      <bottom/>
      <diagonal/>
    </border>
    <border>
      <left style="dashed">
        <color rgb="FF000000"/>
      </left>
      <right/>
      <top/>
      <bottom/>
      <diagonal/>
    </border>
    <border>
      <left style="dashed">
        <color rgb="FF000000"/>
      </left>
      <right/>
      <top/>
      <bottom style="dashed">
        <color rgb="FF000000"/>
      </bottom>
      <diagonal/>
    </border>
    <border>
      <left/>
      <right/>
      <top/>
      <bottom style="dashed">
        <color rgb="FF000000"/>
      </bottom>
      <diagonal/>
    </border>
    <border>
      <left/>
      <right/>
      <top style="dashed">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indexed="64"/>
      </top>
      <bottom/>
      <diagonal/>
    </border>
    <border>
      <left/>
      <right style="dashed">
        <color rgb="FF000000"/>
      </right>
      <top style="dashed">
        <color rgb="FF000000"/>
      </top>
      <bottom/>
      <diagonal/>
    </border>
    <border>
      <left/>
      <right style="dashed">
        <color rgb="FF000000"/>
      </right>
      <top/>
      <bottom/>
      <diagonal/>
    </border>
    <border>
      <left/>
      <right style="dashed">
        <color rgb="FF000000"/>
      </right>
      <top/>
      <bottom style="dashed">
        <color rgb="FF000000"/>
      </bottom>
      <diagonal/>
    </border>
    <border>
      <left style="thin">
        <color rgb="FF000000"/>
      </left>
      <right/>
      <top style="dashed">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112">
    <xf numFmtId="0" fontId="0" fillId="0" borderId="0" xfId="0"/>
    <xf numFmtId="0" fontId="1" fillId="2" borderId="1" xfId="0" applyFont="1" applyFill="1" applyBorder="1" applyAlignment="1">
      <alignment horizontal="center" vertical="center"/>
    </xf>
    <xf numFmtId="0" fontId="3" fillId="0" borderId="2" xfId="0" applyFont="1" applyBorder="1" applyAlignment="1">
      <alignment vertical="center" wrapText="1"/>
    </xf>
    <xf numFmtId="164"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9" fontId="0" fillId="0" borderId="0" xfId="0" applyNumberFormat="1" applyAlignment="1">
      <alignment horizontal="center"/>
    </xf>
    <xf numFmtId="0" fontId="1" fillId="2" borderId="6" xfId="0" applyFont="1" applyFill="1" applyBorder="1" applyAlignment="1">
      <alignment horizontal="center" vertical="center"/>
    </xf>
    <xf numFmtId="0" fontId="2" fillId="0" borderId="3" xfId="0" applyFont="1" applyBorder="1" applyAlignment="1">
      <alignment horizontal="center" vertical="center" wrapText="1"/>
    </xf>
    <xf numFmtId="9" fontId="0" fillId="0" borderId="2" xfId="0" applyNumberFormat="1" applyBorder="1" applyAlignment="1">
      <alignment horizontal="center"/>
    </xf>
    <xf numFmtId="0" fontId="2" fillId="3" borderId="2" xfId="0" applyFont="1" applyFill="1" applyBorder="1" applyAlignment="1">
      <alignment horizontal="center" vertical="center" wrapText="1"/>
    </xf>
    <xf numFmtId="9" fontId="2" fillId="3" borderId="2" xfId="0" applyNumberFormat="1" applyFont="1" applyFill="1" applyBorder="1" applyAlignment="1">
      <alignment horizontal="center" vertical="center" wrapText="1"/>
    </xf>
    <xf numFmtId="165" fontId="1" fillId="2" borderId="7" xfId="0" applyNumberFormat="1" applyFont="1" applyFill="1" applyBorder="1" applyAlignment="1">
      <alignment horizontal="center" vertical="center"/>
    </xf>
    <xf numFmtId="165" fontId="1" fillId="2" borderId="10" xfId="0" applyNumberFormat="1" applyFont="1" applyFill="1" applyBorder="1" applyAlignment="1">
      <alignment horizontal="center" vertical="center"/>
    </xf>
    <xf numFmtId="165" fontId="1" fillId="2" borderId="14"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0" fillId="0" borderId="0" xfId="0" applyAlignment="1">
      <alignment wrapText="1"/>
    </xf>
    <xf numFmtId="1" fontId="2" fillId="0" borderId="3" xfId="0" applyNumberFormat="1" applyFont="1" applyBorder="1" applyAlignment="1">
      <alignment horizontal="center" vertical="center" wrapText="1"/>
    </xf>
    <xf numFmtId="0" fontId="6" fillId="0" borderId="0" xfId="0" applyFont="1" applyAlignment="1">
      <alignment wrapText="1"/>
    </xf>
    <xf numFmtId="1" fontId="7" fillId="0" borderId="2" xfId="0" applyNumberFormat="1" applyFont="1" applyBorder="1" applyAlignment="1">
      <alignment horizontal="center" vertical="center"/>
    </xf>
    <xf numFmtId="0" fontId="2" fillId="3" borderId="18" xfId="0" applyFont="1" applyFill="1" applyBorder="1" applyAlignment="1">
      <alignment vertical="center" wrapText="1"/>
    </xf>
    <xf numFmtId="9" fontId="0" fillId="0" borderId="0" xfId="0" applyNumberFormat="1"/>
    <xf numFmtId="0" fontId="4" fillId="0" borderId="3" xfId="0" applyFont="1" applyBorder="1" applyAlignment="1">
      <alignment horizontal="center"/>
    </xf>
    <xf numFmtId="0" fontId="4" fillId="0" borderId="3" xfId="0" applyFont="1" applyBorder="1" applyAlignment="1">
      <alignment horizontal="center" wrapText="1"/>
    </xf>
    <xf numFmtId="0" fontId="4" fillId="0" borderId="2" xfId="0" applyFont="1" applyBorder="1" applyAlignment="1">
      <alignment horizontal="center"/>
    </xf>
    <xf numFmtId="0" fontId="3" fillId="3" borderId="19" xfId="0" applyFont="1" applyFill="1" applyBorder="1" applyAlignment="1">
      <alignment horizontal="center" vertical="center" wrapText="1"/>
    </xf>
    <xf numFmtId="9" fontId="0" fillId="0" borderId="0" xfId="0" applyNumberFormat="1" applyAlignment="1">
      <alignment horizontal="center" wrapText="1"/>
    </xf>
    <xf numFmtId="0" fontId="0" fillId="0" borderId="0" xfId="0" applyAlignment="1">
      <alignment horizontal="center" vertical="center"/>
    </xf>
    <xf numFmtId="1" fontId="0" fillId="0" borderId="0" xfId="0" applyNumberFormat="1"/>
    <xf numFmtId="0" fontId="3" fillId="0" borderId="17" xfId="0" applyFont="1" applyBorder="1" applyAlignment="1">
      <alignment wrapText="1"/>
    </xf>
    <xf numFmtId="0" fontId="3" fillId="0" borderId="16" xfId="0" applyFont="1" applyBorder="1" applyAlignment="1">
      <alignment wrapText="1"/>
    </xf>
    <xf numFmtId="9" fontId="0" fillId="0" borderId="2" xfId="0" applyNumberFormat="1" applyBorder="1" applyAlignment="1">
      <alignment horizontal="center" wrapTex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xf>
    <xf numFmtId="1"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2" xfId="0" applyFont="1" applyBorder="1" applyAlignment="1">
      <alignment wrapText="1"/>
    </xf>
    <xf numFmtId="165" fontId="1" fillId="2" borderId="24" xfId="0" applyNumberFormat="1" applyFont="1" applyFill="1" applyBorder="1" applyAlignment="1">
      <alignment horizontal="center" vertical="center"/>
    </xf>
    <xf numFmtId="0" fontId="0" fillId="0" borderId="22" xfId="0" applyBorder="1"/>
    <xf numFmtId="0" fontId="3" fillId="0" borderId="2" xfId="0" applyFont="1" applyBorder="1" applyAlignment="1">
      <alignment horizontal="left" vertical="center" wrapText="1"/>
    </xf>
    <xf numFmtId="0" fontId="3" fillId="0" borderId="2" xfId="0" applyFont="1" applyBorder="1" applyAlignment="1">
      <alignment horizontal="left" vertical="center"/>
    </xf>
    <xf numFmtId="165" fontId="1" fillId="2" borderId="21" xfId="0" applyNumberFormat="1" applyFont="1" applyFill="1" applyBorder="1" applyAlignment="1">
      <alignment horizontal="center" vertical="center"/>
    </xf>
    <xf numFmtId="0" fontId="0" fillId="0" borderId="23" xfId="0" applyBorder="1"/>
    <xf numFmtId="0" fontId="4" fillId="0" borderId="2" xfId="0" applyFont="1" applyBorder="1" applyAlignment="1">
      <alignment vertical="center"/>
    </xf>
    <xf numFmtId="0" fontId="3" fillId="4" borderId="2" xfId="0" applyFont="1" applyFill="1" applyBorder="1" applyAlignment="1">
      <alignment horizontal="left" vertical="center"/>
    </xf>
    <xf numFmtId="0" fontId="4" fillId="4" borderId="3" xfId="0" applyFont="1" applyFill="1" applyBorder="1" applyAlignment="1">
      <alignment horizontal="center"/>
    </xf>
    <xf numFmtId="164" fontId="2" fillId="4" borderId="3"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25" xfId="0" applyFont="1" applyBorder="1" applyAlignment="1">
      <alignment horizontal="center" vertical="center" wrapText="1"/>
    </xf>
    <xf numFmtId="0" fontId="2" fillId="3" borderId="18"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 xfId="0" applyFont="1" applyBorder="1" applyAlignment="1">
      <alignment horizontal="center" vertical="center" wrapText="1"/>
    </xf>
    <xf numFmtId="0" fontId="3" fillId="0" borderId="25" xfId="0" applyFont="1" applyBorder="1" applyAlignment="1">
      <alignment horizontal="center" vertical="center"/>
    </xf>
    <xf numFmtId="0" fontId="7" fillId="5" borderId="22" xfId="0" applyFont="1" applyFill="1" applyBorder="1" applyAlignment="1">
      <alignment vertical="top" wrapText="1"/>
    </xf>
    <xf numFmtId="0" fontId="7" fillId="5" borderId="23" xfId="0" applyFont="1" applyFill="1" applyBorder="1" applyAlignment="1">
      <alignment vertical="top" wrapText="1"/>
    </xf>
    <xf numFmtId="165" fontId="1" fillId="2" borderId="3" xfId="0" applyNumberFormat="1" applyFont="1" applyFill="1" applyBorder="1" applyAlignment="1">
      <alignment horizontal="center" vertical="center"/>
    </xf>
    <xf numFmtId="165" fontId="1" fillId="2" borderId="2" xfId="0" applyNumberFormat="1" applyFont="1" applyFill="1" applyBorder="1" applyAlignment="1">
      <alignment horizontal="center" vertical="center"/>
    </xf>
    <xf numFmtId="165" fontId="1" fillId="6" borderId="7" xfId="0" applyNumberFormat="1" applyFont="1" applyFill="1" applyBorder="1" applyAlignment="1">
      <alignment horizontal="center" vertical="center"/>
    </xf>
    <xf numFmtId="165" fontId="1" fillId="6" borderId="21" xfId="0" applyNumberFormat="1" applyFont="1" applyFill="1" applyBorder="1" applyAlignment="1">
      <alignment horizontal="center" vertical="center"/>
    </xf>
    <xf numFmtId="165" fontId="1" fillId="6" borderId="10" xfId="0" applyNumberFormat="1" applyFont="1" applyFill="1" applyBorder="1" applyAlignment="1">
      <alignment horizontal="center" vertical="center"/>
    </xf>
    <xf numFmtId="0" fontId="7" fillId="0" borderId="8" xfId="0" applyFont="1" applyBorder="1" applyAlignment="1">
      <alignment horizontal="center" wrapText="1"/>
    </xf>
    <xf numFmtId="0" fontId="7" fillId="0" borderId="11" xfId="0" applyFont="1" applyBorder="1" applyAlignment="1">
      <alignment horizontal="center" vertical="center" wrapText="1"/>
    </xf>
    <xf numFmtId="164" fontId="2" fillId="5" borderId="3" xfId="0" applyNumberFormat="1" applyFont="1" applyFill="1" applyBorder="1" applyAlignment="1">
      <alignment horizontal="center" vertical="center" wrapText="1"/>
    </xf>
    <xf numFmtId="0" fontId="3" fillId="5" borderId="2" xfId="0" applyFont="1" applyFill="1" applyBorder="1" applyAlignment="1">
      <alignment horizontal="left" vertical="center"/>
    </xf>
    <xf numFmtId="0" fontId="4" fillId="5" borderId="15" xfId="0" applyFont="1" applyFill="1" applyBorder="1" applyAlignment="1">
      <alignment horizontal="center"/>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22"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3" fillId="0" borderId="17" xfId="0" applyFont="1" applyBorder="1" applyAlignment="1">
      <alignment horizontal="center" vertical="center"/>
    </xf>
    <xf numFmtId="0" fontId="3" fillId="0" borderId="16" xfId="0" applyFont="1" applyBorder="1" applyAlignment="1">
      <alignment horizontal="center" vertical="center"/>
    </xf>
    <xf numFmtId="0" fontId="3" fillId="0" borderId="4" xfId="0" applyFont="1" applyBorder="1" applyAlignment="1">
      <alignment horizontal="center" vertical="center"/>
    </xf>
    <xf numFmtId="0" fontId="3" fillId="0" borderId="17" xfId="0" applyFont="1" applyBorder="1" applyAlignment="1">
      <alignment horizontal="center" vertical="center" wrapText="1"/>
    </xf>
    <xf numFmtId="0" fontId="3" fillId="0" borderId="16" xfId="0" applyFont="1" applyBorder="1" applyAlignment="1">
      <alignment horizontal="center" vertical="center" wrapText="1"/>
    </xf>
    <xf numFmtId="0" fontId="7" fillId="5" borderId="7"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3" fillId="0" borderId="20" xfId="0" applyFont="1" applyBorder="1" applyAlignment="1">
      <alignment horizontal="center" vertical="center"/>
    </xf>
    <xf numFmtId="0" fontId="7" fillId="5" borderId="22"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8" xfId="0" applyFont="1" applyFill="1" applyBorder="1" applyAlignment="1">
      <alignment horizontal="center" vertical="top" wrapText="1"/>
    </xf>
    <xf numFmtId="0" fontId="7" fillId="5" borderId="9" xfId="0" applyFont="1" applyFill="1" applyBorder="1" applyAlignment="1">
      <alignment horizontal="center" vertical="top" wrapText="1"/>
    </xf>
    <xf numFmtId="0" fontId="3"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7" xfId="0" applyFont="1" applyBorder="1" applyAlignment="1">
      <alignment horizontal="center" vertical="center" wrapText="1"/>
    </xf>
    <xf numFmtId="0" fontId="3" fillId="0" borderId="4" xfId="0" applyFont="1" applyBorder="1" applyAlignment="1">
      <alignment horizontal="center" vertical="center" wrapText="1"/>
    </xf>
    <xf numFmtId="0" fontId="7" fillId="5" borderId="11" xfId="0" applyFont="1" applyFill="1" applyBorder="1" applyAlignment="1">
      <alignment horizontal="center" vertical="top" wrapText="1"/>
    </xf>
    <xf numFmtId="0" fontId="7" fillId="5" borderId="22" xfId="0" applyFont="1" applyFill="1" applyBorder="1" applyAlignment="1">
      <alignment horizontal="center" vertical="top" wrapText="1"/>
    </xf>
    <xf numFmtId="0" fontId="7" fillId="5" borderId="12" xfId="0" applyFont="1" applyFill="1" applyBorder="1" applyAlignment="1">
      <alignment horizontal="center" vertical="top" wrapText="1"/>
    </xf>
    <xf numFmtId="0" fontId="7" fillId="5" borderId="23" xfId="0" applyFont="1" applyFill="1" applyBorder="1" applyAlignment="1">
      <alignment horizontal="center" vertical="top" wrapText="1"/>
    </xf>
  </cellXfs>
  <cellStyles count="1">
    <cellStyle name="Normal" xfId="0" builtinId="0"/>
  </cellStyles>
  <dxfs count="0"/>
  <tableStyles count="0" defaultTableStyle="TableStyleMedium2" defaultPivotStyle="PivotStyleMedium9"/>
  <colors>
    <mruColors>
      <color rgb="FFFAF893"/>
      <color rgb="FFFFC000"/>
      <color rgb="FFFFF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9525</xdr:colOff>
      <xdr:row>7</xdr:row>
      <xdr:rowOff>66675</xdr:rowOff>
    </xdr:from>
    <xdr:to>
      <xdr:col>11</xdr:col>
      <xdr:colOff>1171575</xdr:colOff>
      <xdr:row>7</xdr:row>
      <xdr:rowOff>333375</xdr:rowOff>
    </xdr:to>
    <xdr:sp macro="" textlink="">
      <xdr:nvSpPr>
        <xdr:cNvPr id="2" name="Rectángulo redondeado 1">
          <a:extLst>
            <a:ext uri="{FF2B5EF4-FFF2-40B4-BE49-F238E27FC236}">
              <a16:creationId xmlns:a16="http://schemas.microsoft.com/office/drawing/2014/main" id="{73FFC0C6-24F7-949D-6F6A-EA7C03CD8F29}"/>
            </a:ext>
            <a:ext uri="{147F2762-F138-4A5C-976F-8EAC2B608ADB}">
              <a16:predDERef xmlns:a16="http://schemas.microsoft.com/office/drawing/2014/main" pred="{45669833-7BAF-AE57-9BBD-00939E92E22B}"/>
            </a:ext>
          </a:extLst>
        </xdr:cNvPr>
        <xdr:cNvSpPr/>
      </xdr:nvSpPr>
      <xdr:spPr>
        <a:xfrm>
          <a:off x="14601825" y="2105025"/>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11</xdr:col>
      <xdr:colOff>1181100</xdr:colOff>
      <xdr:row>8</xdr:row>
      <xdr:rowOff>38100</xdr:rowOff>
    </xdr:from>
    <xdr:to>
      <xdr:col>13</xdr:col>
      <xdr:colOff>1038225</xdr:colOff>
      <xdr:row>8</xdr:row>
      <xdr:rowOff>304800</xdr:rowOff>
    </xdr:to>
    <xdr:sp macro="" textlink="">
      <xdr:nvSpPr>
        <xdr:cNvPr id="3" name="Rectángulo redondeado 2">
          <a:extLst>
            <a:ext uri="{FF2B5EF4-FFF2-40B4-BE49-F238E27FC236}">
              <a16:creationId xmlns:a16="http://schemas.microsoft.com/office/drawing/2014/main" id="{B099BC75-E6E1-4164-A353-1C5DAA582D9E}"/>
            </a:ext>
            <a:ext uri="{147F2762-F138-4A5C-976F-8EAC2B608ADB}">
              <a16:predDERef xmlns:a16="http://schemas.microsoft.com/office/drawing/2014/main" pred="{73FFC0C6-24F7-949D-6F6A-EA7C03CD8F29}"/>
            </a:ext>
          </a:extLst>
        </xdr:cNvPr>
        <xdr:cNvSpPr/>
      </xdr:nvSpPr>
      <xdr:spPr>
        <a:xfrm>
          <a:off x="15773400" y="2457450"/>
          <a:ext cx="21907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6</xdr:col>
      <xdr:colOff>0</xdr:colOff>
      <xdr:row>2</xdr:row>
      <xdr:rowOff>9525</xdr:rowOff>
    </xdr:from>
    <xdr:to>
      <xdr:col>6</xdr:col>
      <xdr:colOff>1047750</xdr:colOff>
      <xdr:row>2</xdr:row>
      <xdr:rowOff>247650</xdr:rowOff>
    </xdr:to>
    <xdr:sp macro="" textlink="">
      <xdr:nvSpPr>
        <xdr:cNvPr id="5" name="Rectángulo redondeado 4">
          <a:extLst>
            <a:ext uri="{FF2B5EF4-FFF2-40B4-BE49-F238E27FC236}">
              <a16:creationId xmlns:a16="http://schemas.microsoft.com/office/drawing/2014/main" id="{6EFDD02F-6F90-442E-AB38-5E305E3489EF}"/>
            </a:ext>
            <a:ext uri="{147F2762-F138-4A5C-976F-8EAC2B608ADB}">
              <a16:predDERef xmlns:a16="http://schemas.microsoft.com/office/drawing/2014/main" pred="{B099BC75-E6E1-4164-A353-1C5DAA582D9E}"/>
            </a:ext>
          </a:extLst>
        </xdr:cNvPr>
        <xdr:cNvSpPr/>
      </xdr:nvSpPr>
      <xdr:spPr>
        <a:xfrm>
          <a:off x="9239250" y="390525"/>
          <a:ext cx="1047750" cy="23812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9</xdr:col>
      <xdr:colOff>0</xdr:colOff>
      <xdr:row>5</xdr:row>
      <xdr:rowOff>47625</xdr:rowOff>
    </xdr:from>
    <xdr:to>
      <xdr:col>9</xdr:col>
      <xdr:colOff>1057275</xdr:colOff>
      <xdr:row>5</xdr:row>
      <xdr:rowOff>314325</xdr:rowOff>
    </xdr:to>
    <xdr:sp macro="" textlink="">
      <xdr:nvSpPr>
        <xdr:cNvPr id="7" name="Rectángulo redondeado 6">
          <a:extLst>
            <a:ext uri="{FF2B5EF4-FFF2-40B4-BE49-F238E27FC236}">
              <a16:creationId xmlns:a16="http://schemas.microsoft.com/office/drawing/2014/main" id="{7AA3B821-35AB-463E-B220-04DD3116D415}"/>
            </a:ext>
            <a:ext uri="{147F2762-F138-4A5C-976F-8EAC2B608ADB}">
              <a16:predDERef xmlns:a16="http://schemas.microsoft.com/office/drawing/2014/main" pred="{6EFDD02F-6F90-442E-AB38-5E305E3489EF}"/>
            </a:ext>
          </a:extLst>
        </xdr:cNvPr>
        <xdr:cNvSpPr/>
      </xdr:nvSpPr>
      <xdr:spPr>
        <a:xfrm>
          <a:off x="12430125" y="1381125"/>
          <a:ext cx="105727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7</xdr:col>
      <xdr:colOff>1057275</xdr:colOff>
      <xdr:row>4</xdr:row>
      <xdr:rowOff>19050</xdr:rowOff>
    </xdr:from>
    <xdr:to>
      <xdr:col>8</xdr:col>
      <xdr:colOff>1057275</xdr:colOff>
      <xdr:row>4</xdr:row>
      <xdr:rowOff>285750</xdr:rowOff>
    </xdr:to>
    <xdr:sp macro="" textlink="">
      <xdr:nvSpPr>
        <xdr:cNvPr id="8" name="Rectángulo redondeado 7">
          <a:extLst>
            <a:ext uri="{FF2B5EF4-FFF2-40B4-BE49-F238E27FC236}">
              <a16:creationId xmlns:a16="http://schemas.microsoft.com/office/drawing/2014/main" id="{7B26D9D2-5758-4DA2-A480-2A516420ADE6}"/>
            </a:ext>
            <a:ext uri="{147F2762-F138-4A5C-976F-8EAC2B608ADB}">
              <a16:predDERef xmlns:a16="http://schemas.microsoft.com/office/drawing/2014/main" pred="{7AA3B821-35AB-463E-B220-04DD3116D415}"/>
            </a:ext>
          </a:extLst>
        </xdr:cNvPr>
        <xdr:cNvSpPr/>
      </xdr:nvSpPr>
      <xdr:spPr>
        <a:xfrm>
          <a:off x="11353800" y="1009650"/>
          <a:ext cx="10668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19</xdr:col>
      <xdr:colOff>0</xdr:colOff>
      <xdr:row>14</xdr:row>
      <xdr:rowOff>57150</xdr:rowOff>
    </xdr:from>
    <xdr:to>
      <xdr:col>20</xdr:col>
      <xdr:colOff>1171575</xdr:colOff>
      <xdr:row>14</xdr:row>
      <xdr:rowOff>323850</xdr:rowOff>
    </xdr:to>
    <xdr:sp macro="" textlink="">
      <xdr:nvSpPr>
        <xdr:cNvPr id="24" name="Rectángulo redondeado 23">
          <a:extLst>
            <a:ext uri="{FF2B5EF4-FFF2-40B4-BE49-F238E27FC236}">
              <a16:creationId xmlns:a16="http://schemas.microsoft.com/office/drawing/2014/main" id="{A408F804-BC8C-4172-9334-27CF2E8EBEFE}"/>
            </a:ext>
            <a:ext uri="{147F2762-F138-4A5C-976F-8EAC2B608ADB}">
              <a16:predDERef xmlns:a16="http://schemas.microsoft.com/office/drawing/2014/main" pred="{7B26D9D2-5758-4DA2-A480-2A516420ADE6}"/>
            </a:ext>
          </a:extLst>
        </xdr:cNvPr>
        <xdr:cNvSpPr/>
      </xdr:nvSpPr>
      <xdr:spPr>
        <a:xfrm>
          <a:off x="23917275" y="4514850"/>
          <a:ext cx="25146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7</xdr:col>
      <xdr:colOff>0</xdr:colOff>
      <xdr:row>3</xdr:row>
      <xdr:rowOff>19050</xdr:rowOff>
    </xdr:from>
    <xdr:to>
      <xdr:col>8</xdr:col>
      <xdr:colOff>0</xdr:colOff>
      <xdr:row>3</xdr:row>
      <xdr:rowOff>285750</xdr:rowOff>
    </xdr:to>
    <xdr:sp macro="" textlink="">
      <xdr:nvSpPr>
        <xdr:cNvPr id="17" name="Rectángulo redondeado 16">
          <a:extLst>
            <a:ext uri="{FF2B5EF4-FFF2-40B4-BE49-F238E27FC236}">
              <a16:creationId xmlns:a16="http://schemas.microsoft.com/office/drawing/2014/main" id="{75B0A61B-1221-4D89-88D8-91633FF401AC}"/>
            </a:ext>
            <a:ext uri="{147F2762-F138-4A5C-976F-8EAC2B608ADB}">
              <a16:predDERef xmlns:a16="http://schemas.microsoft.com/office/drawing/2014/main" pred="{A408F804-BC8C-4172-9334-27CF2E8EBEFE}"/>
            </a:ext>
          </a:extLst>
        </xdr:cNvPr>
        <xdr:cNvSpPr/>
      </xdr:nvSpPr>
      <xdr:spPr>
        <a:xfrm>
          <a:off x="10296525" y="685800"/>
          <a:ext cx="10668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10</xdr:col>
      <xdr:colOff>0</xdr:colOff>
      <xdr:row>6</xdr:row>
      <xdr:rowOff>19050</xdr:rowOff>
    </xdr:from>
    <xdr:to>
      <xdr:col>11</xdr:col>
      <xdr:colOff>0</xdr:colOff>
      <xdr:row>6</xdr:row>
      <xdr:rowOff>285750</xdr:rowOff>
    </xdr:to>
    <xdr:sp macro="" textlink="">
      <xdr:nvSpPr>
        <xdr:cNvPr id="26" name="Rectángulo redondeado 25">
          <a:extLst>
            <a:ext uri="{FF2B5EF4-FFF2-40B4-BE49-F238E27FC236}">
              <a16:creationId xmlns:a16="http://schemas.microsoft.com/office/drawing/2014/main" id="{B7982040-8BC2-4188-B1DB-3B3082BDE422}"/>
            </a:ext>
            <a:ext uri="{147F2762-F138-4A5C-976F-8EAC2B608ADB}">
              <a16:predDERef xmlns:a16="http://schemas.microsoft.com/office/drawing/2014/main" pred="{75B0A61B-1221-4D89-88D8-91633FF401AC}"/>
            </a:ext>
          </a:extLst>
        </xdr:cNvPr>
        <xdr:cNvSpPr/>
      </xdr:nvSpPr>
      <xdr:spPr>
        <a:xfrm>
          <a:off x="13496925" y="1733550"/>
          <a:ext cx="109537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14</xdr:col>
      <xdr:colOff>0</xdr:colOff>
      <xdr:row>9</xdr:row>
      <xdr:rowOff>19050</xdr:rowOff>
    </xdr:from>
    <xdr:to>
      <xdr:col>14</xdr:col>
      <xdr:colOff>1162050</xdr:colOff>
      <xdr:row>9</xdr:row>
      <xdr:rowOff>285750</xdr:rowOff>
    </xdr:to>
    <xdr:sp macro="" textlink="">
      <xdr:nvSpPr>
        <xdr:cNvPr id="27" name="Rectángulo redondeado 26">
          <a:extLst>
            <a:ext uri="{FF2B5EF4-FFF2-40B4-BE49-F238E27FC236}">
              <a16:creationId xmlns:a16="http://schemas.microsoft.com/office/drawing/2014/main" id="{FEE5545A-8370-425C-A6E7-E40DC32F71E3}"/>
            </a:ext>
            <a:ext uri="{147F2762-F138-4A5C-976F-8EAC2B608ADB}">
              <a16:predDERef xmlns:a16="http://schemas.microsoft.com/office/drawing/2014/main" pred="{B7982040-8BC2-4188-B1DB-3B3082BDE422}"/>
            </a:ext>
          </a:extLst>
        </xdr:cNvPr>
        <xdr:cNvSpPr/>
      </xdr:nvSpPr>
      <xdr:spPr>
        <a:xfrm>
          <a:off x="17992725" y="2781300"/>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15</xdr:col>
      <xdr:colOff>28575</xdr:colOff>
      <xdr:row>10</xdr:row>
      <xdr:rowOff>28575</xdr:rowOff>
    </xdr:from>
    <xdr:to>
      <xdr:col>15</xdr:col>
      <xdr:colOff>1190625</xdr:colOff>
      <xdr:row>10</xdr:row>
      <xdr:rowOff>295275</xdr:rowOff>
    </xdr:to>
    <xdr:sp macro="" textlink="">
      <xdr:nvSpPr>
        <xdr:cNvPr id="28" name="Rectángulo redondeado 27">
          <a:extLst>
            <a:ext uri="{FF2B5EF4-FFF2-40B4-BE49-F238E27FC236}">
              <a16:creationId xmlns:a16="http://schemas.microsoft.com/office/drawing/2014/main" id="{78167F06-34F4-47E9-A64D-F30DC458DAB5}"/>
            </a:ext>
            <a:ext uri="{147F2762-F138-4A5C-976F-8EAC2B608ADB}">
              <a16:predDERef xmlns:a16="http://schemas.microsoft.com/office/drawing/2014/main" pred="{FEE5545A-8370-425C-A6E7-E40DC32F71E3}"/>
            </a:ext>
          </a:extLst>
        </xdr:cNvPr>
        <xdr:cNvSpPr/>
      </xdr:nvSpPr>
      <xdr:spPr>
        <a:xfrm>
          <a:off x="19202400" y="3114675"/>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16</xdr:col>
      <xdr:colOff>0</xdr:colOff>
      <xdr:row>11</xdr:row>
      <xdr:rowOff>47625</xdr:rowOff>
    </xdr:from>
    <xdr:to>
      <xdr:col>16</xdr:col>
      <xdr:colOff>1162050</xdr:colOff>
      <xdr:row>11</xdr:row>
      <xdr:rowOff>314325</xdr:rowOff>
    </xdr:to>
    <xdr:sp macro="" textlink="">
      <xdr:nvSpPr>
        <xdr:cNvPr id="29" name="Rectángulo redondeado 28">
          <a:extLst>
            <a:ext uri="{FF2B5EF4-FFF2-40B4-BE49-F238E27FC236}">
              <a16:creationId xmlns:a16="http://schemas.microsoft.com/office/drawing/2014/main" id="{8EB764DF-3B40-4A0A-AA49-0B26B510F47D}"/>
            </a:ext>
            <a:ext uri="{147F2762-F138-4A5C-976F-8EAC2B608ADB}">
              <a16:predDERef xmlns:a16="http://schemas.microsoft.com/office/drawing/2014/main" pred="{78167F06-34F4-47E9-A64D-F30DC458DAB5}"/>
            </a:ext>
          </a:extLst>
        </xdr:cNvPr>
        <xdr:cNvSpPr/>
      </xdr:nvSpPr>
      <xdr:spPr>
        <a:xfrm>
          <a:off x="20373975" y="3457575"/>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17</xdr:col>
      <xdr:colOff>0</xdr:colOff>
      <xdr:row>12</xdr:row>
      <xdr:rowOff>19050</xdr:rowOff>
    </xdr:from>
    <xdr:to>
      <xdr:col>17</xdr:col>
      <xdr:colOff>1162050</xdr:colOff>
      <xdr:row>12</xdr:row>
      <xdr:rowOff>285750</xdr:rowOff>
    </xdr:to>
    <xdr:sp macro="" textlink="">
      <xdr:nvSpPr>
        <xdr:cNvPr id="30" name="Rectángulo redondeado 29">
          <a:extLst>
            <a:ext uri="{FF2B5EF4-FFF2-40B4-BE49-F238E27FC236}">
              <a16:creationId xmlns:a16="http://schemas.microsoft.com/office/drawing/2014/main" id="{3132F661-2EAD-4F35-A7BD-11809DB2164B}"/>
            </a:ext>
            <a:ext uri="{147F2762-F138-4A5C-976F-8EAC2B608ADB}">
              <a16:predDERef xmlns:a16="http://schemas.microsoft.com/office/drawing/2014/main" pred="{8EB764DF-3B40-4A0A-AA49-0B26B510F47D}"/>
            </a:ext>
          </a:extLst>
        </xdr:cNvPr>
        <xdr:cNvSpPr/>
      </xdr:nvSpPr>
      <xdr:spPr>
        <a:xfrm>
          <a:off x="21555075" y="3810000"/>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18</xdr:col>
      <xdr:colOff>0</xdr:colOff>
      <xdr:row>13</xdr:row>
      <xdr:rowOff>38100</xdr:rowOff>
    </xdr:from>
    <xdr:to>
      <xdr:col>18</xdr:col>
      <xdr:colOff>1162050</xdr:colOff>
      <xdr:row>13</xdr:row>
      <xdr:rowOff>304800</xdr:rowOff>
    </xdr:to>
    <xdr:sp macro="" textlink="">
      <xdr:nvSpPr>
        <xdr:cNvPr id="31" name="Rectángulo redondeado 30">
          <a:extLst>
            <a:ext uri="{FF2B5EF4-FFF2-40B4-BE49-F238E27FC236}">
              <a16:creationId xmlns:a16="http://schemas.microsoft.com/office/drawing/2014/main" id="{56F0FB72-6B17-4DB3-9796-A2182DF20DBB}"/>
            </a:ext>
            <a:ext uri="{147F2762-F138-4A5C-976F-8EAC2B608ADB}">
              <a16:predDERef xmlns:a16="http://schemas.microsoft.com/office/drawing/2014/main" pred="{3132F661-2EAD-4F35-A7BD-11809DB2164B}"/>
            </a:ext>
          </a:extLst>
        </xdr:cNvPr>
        <xdr:cNvSpPr/>
      </xdr:nvSpPr>
      <xdr:spPr>
        <a:xfrm>
          <a:off x="22736175" y="4133850"/>
          <a:ext cx="1162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21</xdr:col>
      <xdr:colOff>0</xdr:colOff>
      <xdr:row>15</xdr:row>
      <xdr:rowOff>66675</xdr:rowOff>
    </xdr:from>
    <xdr:to>
      <xdr:col>22</xdr:col>
      <xdr:colOff>0</xdr:colOff>
      <xdr:row>15</xdr:row>
      <xdr:rowOff>333375</xdr:rowOff>
    </xdr:to>
    <xdr:sp macro="" textlink="">
      <xdr:nvSpPr>
        <xdr:cNvPr id="32" name="Rectángulo redondeado 31">
          <a:extLst>
            <a:ext uri="{FF2B5EF4-FFF2-40B4-BE49-F238E27FC236}">
              <a16:creationId xmlns:a16="http://schemas.microsoft.com/office/drawing/2014/main" id="{9EA3D0D5-7892-4AD1-B072-0EA7C3794382}"/>
            </a:ext>
            <a:ext uri="{147F2762-F138-4A5C-976F-8EAC2B608ADB}">
              <a16:predDERef xmlns:a16="http://schemas.microsoft.com/office/drawing/2014/main" pred="{56F0FB72-6B17-4DB3-9796-A2182DF20DBB}"/>
            </a:ext>
          </a:extLst>
        </xdr:cNvPr>
        <xdr:cNvSpPr/>
      </xdr:nvSpPr>
      <xdr:spPr>
        <a:xfrm>
          <a:off x="26460450" y="4905375"/>
          <a:ext cx="12001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22</xdr:col>
      <xdr:colOff>0</xdr:colOff>
      <xdr:row>16</xdr:row>
      <xdr:rowOff>38100</xdr:rowOff>
    </xdr:from>
    <xdr:to>
      <xdr:col>25</xdr:col>
      <xdr:colOff>9525</xdr:colOff>
      <xdr:row>16</xdr:row>
      <xdr:rowOff>304800</xdr:rowOff>
    </xdr:to>
    <xdr:sp macro="" textlink="">
      <xdr:nvSpPr>
        <xdr:cNvPr id="33" name="Rectángulo redondeado 32">
          <a:extLst>
            <a:ext uri="{FF2B5EF4-FFF2-40B4-BE49-F238E27FC236}">
              <a16:creationId xmlns:a16="http://schemas.microsoft.com/office/drawing/2014/main" id="{5B8C1898-484B-4B2E-BB8C-B2F17518852A}"/>
            </a:ext>
            <a:ext uri="{147F2762-F138-4A5C-976F-8EAC2B608ADB}">
              <a16:predDERef xmlns:a16="http://schemas.microsoft.com/office/drawing/2014/main" pred="{9EA3D0D5-7892-4AD1-B072-0EA7C3794382}"/>
            </a:ext>
          </a:extLst>
        </xdr:cNvPr>
        <xdr:cNvSpPr/>
      </xdr:nvSpPr>
      <xdr:spPr>
        <a:xfrm>
          <a:off x="27660600" y="5305425"/>
          <a:ext cx="40005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25</xdr:col>
      <xdr:colOff>0</xdr:colOff>
      <xdr:row>17</xdr:row>
      <xdr:rowOff>47625</xdr:rowOff>
    </xdr:from>
    <xdr:to>
      <xdr:col>26</xdr:col>
      <xdr:colOff>1428750</xdr:colOff>
      <xdr:row>17</xdr:row>
      <xdr:rowOff>314325</xdr:rowOff>
    </xdr:to>
    <xdr:sp macro="" textlink="">
      <xdr:nvSpPr>
        <xdr:cNvPr id="34" name="Rectángulo redondeado 33">
          <a:extLst>
            <a:ext uri="{FF2B5EF4-FFF2-40B4-BE49-F238E27FC236}">
              <a16:creationId xmlns:a16="http://schemas.microsoft.com/office/drawing/2014/main" id="{E61F10F6-66D0-4A54-BFD6-7222907E635F}"/>
            </a:ext>
            <a:ext uri="{147F2762-F138-4A5C-976F-8EAC2B608ADB}">
              <a16:predDERef xmlns:a16="http://schemas.microsoft.com/office/drawing/2014/main" pred="{5B8C1898-484B-4B2E-BB8C-B2F17518852A}"/>
            </a:ext>
          </a:extLst>
        </xdr:cNvPr>
        <xdr:cNvSpPr/>
      </xdr:nvSpPr>
      <xdr:spPr>
        <a:xfrm>
          <a:off x="31651575" y="5657850"/>
          <a:ext cx="28765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27</xdr:col>
      <xdr:colOff>0</xdr:colOff>
      <xdr:row>18</xdr:row>
      <xdr:rowOff>28575</xdr:rowOff>
    </xdr:from>
    <xdr:to>
      <xdr:col>29</xdr:col>
      <xdr:colOff>9525</xdr:colOff>
      <xdr:row>18</xdr:row>
      <xdr:rowOff>295275</xdr:rowOff>
    </xdr:to>
    <xdr:sp macro="" textlink="">
      <xdr:nvSpPr>
        <xdr:cNvPr id="35" name="Rectángulo redondeado 34">
          <a:extLst>
            <a:ext uri="{FF2B5EF4-FFF2-40B4-BE49-F238E27FC236}">
              <a16:creationId xmlns:a16="http://schemas.microsoft.com/office/drawing/2014/main" id="{A265F92F-90F2-4FAA-A854-0B862B5CE61C}"/>
            </a:ext>
            <a:ext uri="{147F2762-F138-4A5C-976F-8EAC2B608ADB}">
              <a16:predDERef xmlns:a16="http://schemas.microsoft.com/office/drawing/2014/main" pred="{E61F10F6-66D0-4A54-BFD6-7222907E635F}"/>
            </a:ext>
          </a:extLst>
        </xdr:cNvPr>
        <xdr:cNvSpPr/>
      </xdr:nvSpPr>
      <xdr:spPr>
        <a:xfrm>
          <a:off x="34537650" y="6019800"/>
          <a:ext cx="29146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29</xdr:col>
      <xdr:colOff>0</xdr:colOff>
      <xdr:row>19</xdr:row>
      <xdr:rowOff>38100</xdr:rowOff>
    </xdr:from>
    <xdr:to>
      <xdr:col>31</xdr:col>
      <xdr:colOff>1381125</xdr:colOff>
      <xdr:row>19</xdr:row>
      <xdr:rowOff>304800</xdr:rowOff>
    </xdr:to>
    <xdr:sp macro="" textlink="">
      <xdr:nvSpPr>
        <xdr:cNvPr id="36" name="Rectángulo redondeado 35">
          <a:extLst>
            <a:ext uri="{FF2B5EF4-FFF2-40B4-BE49-F238E27FC236}">
              <a16:creationId xmlns:a16="http://schemas.microsoft.com/office/drawing/2014/main" id="{BE14A87C-E4FB-4FC7-B880-4C830D12760D}"/>
            </a:ext>
            <a:ext uri="{147F2762-F138-4A5C-976F-8EAC2B608ADB}">
              <a16:predDERef xmlns:a16="http://schemas.microsoft.com/office/drawing/2014/main" pred="{A265F92F-90F2-4FAA-A854-0B862B5CE61C}"/>
            </a:ext>
          </a:extLst>
        </xdr:cNvPr>
        <xdr:cNvSpPr/>
      </xdr:nvSpPr>
      <xdr:spPr>
        <a:xfrm>
          <a:off x="37442775" y="6353175"/>
          <a:ext cx="4210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32</xdr:col>
      <xdr:colOff>0</xdr:colOff>
      <xdr:row>20</xdr:row>
      <xdr:rowOff>47625</xdr:rowOff>
    </xdr:from>
    <xdr:to>
      <xdr:col>33</xdr:col>
      <xdr:colOff>1371600</xdr:colOff>
      <xdr:row>20</xdr:row>
      <xdr:rowOff>314325</xdr:rowOff>
    </xdr:to>
    <xdr:sp macro="" textlink="">
      <xdr:nvSpPr>
        <xdr:cNvPr id="37" name="Rectángulo redondeado 36">
          <a:extLst>
            <a:ext uri="{FF2B5EF4-FFF2-40B4-BE49-F238E27FC236}">
              <a16:creationId xmlns:a16="http://schemas.microsoft.com/office/drawing/2014/main" id="{39CD84C2-EC6E-4C02-91A7-F7B2CE229100}"/>
            </a:ext>
            <a:ext uri="{147F2762-F138-4A5C-976F-8EAC2B608ADB}">
              <a16:predDERef xmlns:a16="http://schemas.microsoft.com/office/drawing/2014/main" pred="{BE14A87C-E4FB-4FC7-B880-4C830D12760D}"/>
            </a:ext>
          </a:extLst>
        </xdr:cNvPr>
        <xdr:cNvSpPr/>
      </xdr:nvSpPr>
      <xdr:spPr>
        <a:xfrm>
          <a:off x="41662350" y="6724650"/>
          <a:ext cx="2686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34</xdr:col>
      <xdr:colOff>0</xdr:colOff>
      <xdr:row>21</xdr:row>
      <xdr:rowOff>47625</xdr:rowOff>
    </xdr:from>
    <xdr:to>
      <xdr:col>34</xdr:col>
      <xdr:colOff>1295400</xdr:colOff>
      <xdr:row>21</xdr:row>
      <xdr:rowOff>314325</xdr:rowOff>
    </xdr:to>
    <xdr:sp macro="" textlink="">
      <xdr:nvSpPr>
        <xdr:cNvPr id="38" name="Rectángulo redondeado 37">
          <a:extLst>
            <a:ext uri="{FF2B5EF4-FFF2-40B4-BE49-F238E27FC236}">
              <a16:creationId xmlns:a16="http://schemas.microsoft.com/office/drawing/2014/main" id="{4FB35880-4525-47C9-B9CD-248211856036}"/>
            </a:ext>
            <a:ext uri="{147F2762-F138-4A5C-976F-8EAC2B608ADB}">
              <a16:predDERef xmlns:a16="http://schemas.microsoft.com/office/drawing/2014/main" pred="{39CD84C2-EC6E-4C02-91A7-F7B2CE229100}"/>
            </a:ext>
          </a:extLst>
        </xdr:cNvPr>
        <xdr:cNvSpPr/>
      </xdr:nvSpPr>
      <xdr:spPr>
        <a:xfrm>
          <a:off x="44367450" y="7086600"/>
          <a:ext cx="12954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35</xdr:col>
      <xdr:colOff>0</xdr:colOff>
      <xdr:row>22</xdr:row>
      <xdr:rowOff>38100</xdr:rowOff>
    </xdr:from>
    <xdr:to>
      <xdr:col>36</xdr:col>
      <xdr:colOff>0</xdr:colOff>
      <xdr:row>22</xdr:row>
      <xdr:rowOff>304800</xdr:rowOff>
    </xdr:to>
    <xdr:sp macro="" textlink="">
      <xdr:nvSpPr>
        <xdr:cNvPr id="39" name="Rectángulo redondeado 38">
          <a:extLst>
            <a:ext uri="{FF2B5EF4-FFF2-40B4-BE49-F238E27FC236}">
              <a16:creationId xmlns:a16="http://schemas.microsoft.com/office/drawing/2014/main" id="{2135342B-0635-4A91-A622-496FF8AC504E}"/>
            </a:ext>
            <a:ext uri="{147F2762-F138-4A5C-976F-8EAC2B608ADB}">
              <a16:predDERef xmlns:a16="http://schemas.microsoft.com/office/drawing/2014/main" pred="{4FB35880-4525-47C9-B9CD-248211856036}"/>
            </a:ext>
          </a:extLst>
        </xdr:cNvPr>
        <xdr:cNvSpPr/>
      </xdr:nvSpPr>
      <xdr:spPr>
        <a:xfrm>
          <a:off x="47091600" y="7439025"/>
          <a:ext cx="13525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36</xdr:col>
      <xdr:colOff>0</xdr:colOff>
      <xdr:row>23</xdr:row>
      <xdr:rowOff>47625</xdr:rowOff>
    </xdr:from>
    <xdr:to>
      <xdr:col>39</xdr:col>
      <xdr:colOff>0</xdr:colOff>
      <xdr:row>23</xdr:row>
      <xdr:rowOff>314325</xdr:rowOff>
    </xdr:to>
    <xdr:sp macro="" textlink="">
      <xdr:nvSpPr>
        <xdr:cNvPr id="40" name="Rectángulo redondeado 39">
          <a:extLst>
            <a:ext uri="{FF2B5EF4-FFF2-40B4-BE49-F238E27FC236}">
              <a16:creationId xmlns:a16="http://schemas.microsoft.com/office/drawing/2014/main" id="{92F857A9-D024-46FA-9FA7-CFCA3C845272}"/>
            </a:ext>
            <a:ext uri="{147F2762-F138-4A5C-976F-8EAC2B608ADB}">
              <a16:predDERef xmlns:a16="http://schemas.microsoft.com/office/drawing/2014/main" pred="{2135342B-0635-4A91-A622-496FF8AC504E}"/>
            </a:ext>
          </a:extLst>
        </xdr:cNvPr>
        <xdr:cNvSpPr/>
      </xdr:nvSpPr>
      <xdr:spPr>
        <a:xfrm>
          <a:off x="48444150" y="7791450"/>
          <a:ext cx="44196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39</xdr:col>
      <xdr:colOff>0</xdr:colOff>
      <xdr:row>24</xdr:row>
      <xdr:rowOff>28575</xdr:rowOff>
    </xdr:from>
    <xdr:to>
      <xdr:col>41</xdr:col>
      <xdr:colOff>19050</xdr:colOff>
      <xdr:row>24</xdr:row>
      <xdr:rowOff>295275</xdr:rowOff>
    </xdr:to>
    <xdr:sp macro="" textlink="">
      <xdr:nvSpPr>
        <xdr:cNvPr id="41" name="Rectángulo redondeado 40">
          <a:extLst>
            <a:ext uri="{FF2B5EF4-FFF2-40B4-BE49-F238E27FC236}">
              <a16:creationId xmlns:a16="http://schemas.microsoft.com/office/drawing/2014/main" id="{D0977792-1883-46A3-B17D-B4A78B85A3E0}"/>
            </a:ext>
            <a:ext uri="{147F2762-F138-4A5C-976F-8EAC2B608ADB}">
              <a16:predDERef xmlns:a16="http://schemas.microsoft.com/office/drawing/2014/main" pred="{92F857A9-D024-46FA-9FA7-CFCA3C845272}"/>
            </a:ext>
          </a:extLst>
        </xdr:cNvPr>
        <xdr:cNvSpPr/>
      </xdr:nvSpPr>
      <xdr:spPr>
        <a:xfrm>
          <a:off x="51444525" y="8115300"/>
          <a:ext cx="31242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41</xdr:col>
      <xdr:colOff>0</xdr:colOff>
      <xdr:row>25</xdr:row>
      <xdr:rowOff>38100</xdr:rowOff>
    </xdr:from>
    <xdr:to>
      <xdr:col>43</xdr:col>
      <xdr:colOff>0</xdr:colOff>
      <xdr:row>25</xdr:row>
      <xdr:rowOff>304800</xdr:rowOff>
    </xdr:to>
    <xdr:sp macro="" textlink="">
      <xdr:nvSpPr>
        <xdr:cNvPr id="42" name="Rectángulo redondeado 41">
          <a:extLst>
            <a:ext uri="{FF2B5EF4-FFF2-40B4-BE49-F238E27FC236}">
              <a16:creationId xmlns:a16="http://schemas.microsoft.com/office/drawing/2014/main" id="{0E12B0EF-B310-44BE-9C12-2A03E10E3455}"/>
            </a:ext>
            <a:ext uri="{147F2762-F138-4A5C-976F-8EAC2B608ADB}">
              <a16:predDERef xmlns:a16="http://schemas.microsoft.com/office/drawing/2014/main" pred="{D0977792-1883-46A3-B17D-B4A78B85A3E0}"/>
            </a:ext>
          </a:extLst>
        </xdr:cNvPr>
        <xdr:cNvSpPr/>
      </xdr:nvSpPr>
      <xdr:spPr>
        <a:xfrm>
          <a:off x="55968900" y="8429625"/>
          <a:ext cx="33718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43</xdr:col>
      <xdr:colOff>0</xdr:colOff>
      <xdr:row>26</xdr:row>
      <xdr:rowOff>28575</xdr:rowOff>
    </xdr:from>
    <xdr:to>
      <xdr:col>45</xdr:col>
      <xdr:colOff>1790700</xdr:colOff>
      <xdr:row>26</xdr:row>
      <xdr:rowOff>295275</xdr:rowOff>
    </xdr:to>
    <xdr:sp macro="" textlink="">
      <xdr:nvSpPr>
        <xdr:cNvPr id="43" name="Rectángulo redondeado 42">
          <a:extLst>
            <a:ext uri="{FF2B5EF4-FFF2-40B4-BE49-F238E27FC236}">
              <a16:creationId xmlns:a16="http://schemas.microsoft.com/office/drawing/2014/main" id="{C6DE5941-45D0-4109-A635-1CEB118347D5}"/>
            </a:ext>
            <a:ext uri="{147F2762-F138-4A5C-976F-8EAC2B608ADB}">
              <a16:predDERef xmlns:a16="http://schemas.microsoft.com/office/drawing/2014/main" pred="{0E12B0EF-B310-44BE-9C12-2A03E10E3455}"/>
            </a:ext>
          </a:extLst>
        </xdr:cNvPr>
        <xdr:cNvSpPr/>
      </xdr:nvSpPr>
      <xdr:spPr>
        <a:xfrm>
          <a:off x="59340750" y="8763000"/>
          <a:ext cx="51816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46</xdr:col>
      <xdr:colOff>0</xdr:colOff>
      <xdr:row>27</xdr:row>
      <xdr:rowOff>47625</xdr:rowOff>
    </xdr:from>
    <xdr:to>
      <xdr:col>47</xdr:col>
      <xdr:colOff>0</xdr:colOff>
      <xdr:row>27</xdr:row>
      <xdr:rowOff>314325</xdr:rowOff>
    </xdr:to>
    <xdr:sp macro="" textlink="">
      <xdr:nvSpPr>
        <xdr:cNvPr id="44" name="Rectángulo redondeado 43">
          <a:extLst>
            <a:ext uri="{FF2B5EF4-FFF2-40B4-BE49-F238E27FC236}">
              <a16:creationId xmlns:a16="http://schemas.microsoft.com/office/drawing/2014/main" id="{C7100348-4F93-4BCB-9CF4-B36475215216}"/>
            </a:ext>
            <a:ext uri="{147F2762-F138-4A5C-976F-8EAC2B608ADB}">
              <a16:predDERef xmlns:a16="http://schemas.microsoft.com/office/drawing/2014/main" pred="{C6DE5941-45D0-4109-A635-1CEB118347D5}"/>
            </a:ext>
          </a:extLst>
        </xdr:cNvPr>
        <xdr:cNvSpPr/>
      </xdr:nvSpPr>
      <xdr:spPr>
        <a:xfrm>
          <a:off x="62731650" y="9124950"/>
          <a:ext cx="17335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47</xdr:col>
      <xdr:colOff>9525</xdr:colOff>
      <xdr:row>28</xdr:row>
      <xdr:rowOff>38100</xdr:rowOff>
    </xdr:from>
    <xdr:to>
      <xdr:col>47</xdr:col>
      <xdr:colOff>1514475</xdr:colOff>
      <xdr:row>28</xdr:row>
      <xdr:rowOff>304800</xdr:rowOff>
    </xdr:to>
    <xdr:sp macro="" textlink="">
      <xdr:nvSpPr>
        <xdr:cNvPr id="45" name="Rectángulo redondeado 44">
          <a:extLst>
            <a:ext uri="{FF2B5EF4-FFF2-40B4-BE49-F238E27FC236}">
              <a16:creationId xmlns:a16="http://schemas.microsoft.com/office/drawing/2014/main" id="{709A1FBD-89EB-4799-85E3-2EE96477F0B0}"/>
            </a:ext>
            <a:ext uri="{147F2762-F138-4A5C-976F-8EAC2B608ADB}">
              <a16:predDERef xmlns:a16="http://schemas.microsoft.com/office/drawing/2014/main" pred="{C7100348-4F93-4BCB-9CF4-B36475215216}"/>
            </a:ext>
          </a:extLst>
        </xdr:cNvPr>
        <xdr:cNvSpPr/>
      </xdr:nvSpPr>
      <xdr:spPr>
        <a:xfrm>
          <a:off x="64474725" y="9496425"/>
          <a:ext cx="15049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REALKZADO</a:t>
          </a:r>
        </a:p>
      </xdr:txBody>
    </xdr:sp>
    <xdr:clientData/>
  </xdr:twoCellAnchor>
  <xdr:twoCellAnchor>
    <xdr:from>
      <xdr:col>48</xdr:col>
      <xdr:colOff>0</xdr:colOff>
      <xdr:row>29</xdr:row>
      <xdr:rowOff>38100</xdr:rowOff>
    </xdr:from>
    <xdr:to>
      <xdr:col>48</xdr:col>
      <xdr:colOff>1333500</xdr:colOff>
      <xdr:row>29</xdr:row>
      <xdr:rowOff>304800</xdr:rowOff>
    </xdr:to>
    <xdr:sp macro="" textlink="">
      <xdr:nvSpPr>
        <xdr:cNvPr id="46" name="Rectángulo redondeado 45">
          <a:extLst>
            <a:ext uri="{FF2B5EF4-FFF2-40B4-BE49-F238E27FC236}">
              <a16:creationId xmlns:a16="http://schemas.microsoft.com/office/drawing/2014/main" id="{D544CD12-4DB4-4BCA-A893-DFA90C8E7B57}"/>
            </a:ext>
            <a:ext uri="{147F2762-F138-4A5C-976F-8EAC2B608ADB}">
              <a16:predDERef xmlns:a16="http://schemas.microsoft.com/office/drawing/2014/main" pred="{709A1FBD-89EB-4799-85E3-2EE96477F0B0}"/>
            </a:ext>
          </a:extLst>
        </xdr:cNvPr>
        <xdr:cNvSpPr/>
      </xdr:nvSpPr>
      <xdr:spPr>
        <a:xfrm>
          <a:off x="66008250" y="9839325"/>
          <a:ext cx="13335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49</xdr:col>
      <xdr:colOff>9525</xdr:colOff>
      <xdr:row>30</xdr:row>
      <xdr:rowOff>57150</xdr:rowOff>
    </xdr:from>
    <xdr:to>
      <xdr:col>50</xdr:col>
      <xdr:colOff>1514475</xdr:colOff>
      <xdr:row>30</xdr:row>
      <xdr:rowOff>323850</xdr:rowOff>
    </xdr:to>
    <xdr:sp macro="" textlink="">
      <xdr:nvSpPr>
        <xdr:cNvPr id="47" name="Rectángulo redondeado 46" descr="La actividad se finaliza con datos quemados ya que SAP Calidad no está activo" title="Nota">
          <a:extLst>
            <a:ext uri="{FF2B5EF4-FFF2-40B4-BE49-F238E27FC236}">
              <a16:creationId xmlns:a16="http://schemas.microsoft.com/office/drawing/2014/main" id="{0C538478-0C17-4495-90A3-AC5A61DB1511}"/>
            </a:ext>
            <a:ext uri="{147F2762-F138-4A5C-976F-8EAC2B608ADB}">
              <a16:predDERef xmlns:a16="http://schemas.microsoft.com/office/drawing/2014/main" pred="{D544CD12-4DB4-4BCA-A893-DFA90C8E7B57}"/>
            </a:ext>
          </a:extLst>
        </xdr:cNvPr>
        <xdr:cNvSpPr/>
      </xdr:nvSpPr>
      <xdr:spPr>
        <a:xfrm>
          <a:off x="69180075" y="10220325"/>
          <a:ext cx="30289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55</xdr:col>
      <xdr:colOff>0</xdr:colOff>
      <xdr:row>31</xdr:row>
      <xdr:rowOff>38100</xdr:rowOff>
    </xdr:from>
    <xdr:to>
      <xdr:col>56</xdr:col>
      <xdr:colOff>1714500</xdr:colOff>
      <xdr:row>31</xdr:row>
      <xdr:rowOff>304800</xdr:rowOff>
    </xdr:to>
    <xdr:sp macro="" textlink="">
      <xdr:nvSpPr>
        <xdr:cNvPr id="48" name="Rectángulo redondeado 47">
          <a:extLst>
            <a:ext uri="{FF2B5EF4-FFF2-40B4-BE49-F238E27FC236}">
              <a16:creationId xmlns:a16="http://schemas.microsoft.com/office/drawing/2014/main" id="{D151565B-20CC-4396-9BF8-44782255BF4A}"/>
            </a:ext>
            <a:ext uri="{147F2762-F138-4A5C-976F-8EAC2B608ADB}">
              <a16:predDERef xmlns:a16="http://schemas.microsoft.com/office/drawing/2014/main" pred="{0C538478-0C17-4495-90A3-AC5A61DB1511}"/>
            </a:ext>
          </a:extLst>
        </xdr:cNvPr>
        <xdr:cNvSpPr/>
      </xdr:nvSpPr>
      <xdr:spPr>
        <a:xfrm>
          <a:off x="77066775" y="10582275"/>
          <a:ext cx="34671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53</xdr:col>
      <xdr:colOff>9525</xdr:colOff>
      <xdr:row>32</xdr:row>
      <xdr:rowOff>47625</xdr:rowOff>
    </xdr:from>
    <xdr:to>
      <xdr:col>54</xdr:col>
      <xdr:colOff>1743075</xdr:colOff>
      <xdr:row>32</xdr:row>
      <xdr:rowOff>314325</xdr:rowOff>
    </xdr:to>
    <xdr:sp macro="" textlink="">
      <xdr:nvSpPr>
        <xdr:cNvPr id="49" name="Rectángulo redondeado 48">
          <a:extLst>
            <a:ext uri="{FF2B5EF4-FFF2-40B4-BE49-F238E27FC236}">
              <a16:creationId xmlns:a16="http://schemas.microsoft.com/office/drawing/2014/main" id="{5BB02BF6-A0DD-4D82-BEE3-66995C08CE6A}"/>
            </a:ext>
            <a:ext uri="{147F2762-F138-4A5C-976F-8EAC2B608ADB}">
              <a16:predDERef xmlns:a16="http://schemas.microsoft.com/office/drawing/2014/main" pred="{D151565B-20CC-4396-9BF8-44782255BF4A}"/>
            </a:ext>
          </a:extLst>
        </xdr:cNvPr>
        <xdr:cNvSpPr/>
      </xdr:nvSpPr>
      <xdr:spPr>
        <a:xfrm>
          <a:off x="73571100" y="10953750"/>
          <a:ext cx="34861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63</xdr:col>
      <xdr:colOff>9525</xdr:colOff>
      <xdr:row>33</xdr:row>
      <xdr:rowOff>47625</xdr:rowOff>
    </xdr:from>
    <xdr:to>
      <xdr:col>64</xdr:col>
      <xdr:colOff>1714500</xdr:colOff>
      <xdr:row>33</xdr:row>
      <xdr:rowOff>314325</xdr:rowOff>
    </xdr:to>
    <xdr:sp macro="" textlink="">
      <xdr:nvSpPr>
        <xdr:cNvPr id="50" name="Rectángulo redondeado 49">
          <a:extLst>
            <a:ext uri="{FF2B5EF4-FFF2-40B4-BE49-F238E27FC236}">
              <a16:creationId xmlns:a16="http://schemas.microsoft.com/office/drawing/2014/main" id="{AA146462-03D7-4AF0-9EC7-BD18370DD654}"/>
            </a:ext>
            <a:ext uri="{147F2762-F138-4A5C-976F-8EAC2B608ADB}">
              <a16:predDERef xmlns:a16="http://schemas.microsoft.com/office/drawing/2014/main" pred="{5BB02BF6-A0DD-4D82-BEE3-66995C08CE6A}"/>
            </a:ext>
          </a:extLst>
        </xdr:cNvPr>
        <xdr:cNvSpPr/>
      </xdr:nvSpPr>
      <xdr:spPr>
        <a:xfrm>
          <a:off x="85782150" y="11315700"/>
          <a:ext cx="34385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65</xdr:col>
      <xdr:colOff>0</xdr:colOff>
      <xdr:row>34</xdr:row>
      <xdr:rowOff>57150</xdr:rowOff>
    </xdr:from>
    <xdr:to>
      <xdr:col>66</xdr:col>
      <xdr:colOff>19050</xdr:colOff>
      <xdr:row>34</xdr:row>
      <xdr:rowOff>323850</xdr:rowOff>
    </xdr:to>
    <xdr:sp macro="" textlink="">
      <xdr:nvSpPr>
        <xdr:cNvPr id="51" name="Rectángulo redondeado 50">
          <a:extLst>
            <a:ext uri="{FF2B5EF4-FFF2-40B4-BE49-F238E27FC236}">
              <a16:creationId xmlns:a16="http://schemas.microsoft.com/office/drawing/2014/main" id="{E89D1526-DDBB-4DDE-B235-3699402343F6}"/>
            </a:ext>
            <a:ext uri="{147F2762-F138-4A5C-976F-8EAC2B608ADB}">
              <a16:predDERef xmlns:a16="http://schemas.microsoft.com/office/drawing/2014/main" pred="{AA146462-03D7-4AF0-9EC7-BD18370DD654}"/>
            </a:ext>
          </a:extLst>
        </xdr:cNvPr>
        <xdr:cNvSpPr/>
      </xdr:nvSpPr>
      <xdr:spPr>
        <a:xfrm>
          <a:off x="82286475" y="11687175"/>
          <a:ext cx="17526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66</xdr:col>
      <xdr:colOff>19050</xdr:colOff>
      <xdr:row>36</xdr:row>
      <xdr:rowOff>47625</xdr:rowOff>
    </xdr:from>
    <xdr:to>
      <xdr:col>67</xdr:col>
      <xdr:colOff>0</xdr:colOff>
      <xdr:row>36</xdr:row>
      <xdr:rowOff>314325</xdr:rowOff>
    </xdr:to>
    <xdr:sp macro="" textlink="">
      <xdr:nvSpPr>
        <xdr:cNvPr id="54" name="Rectángulo redondeado 53">
          <a:extLst>
            <a:ext uri="{FF2B5EF4-FFF2-40B4-BE49-F238E27FC236}">
              <a16:creationId xmlns:a16="http://schemas.microsoft.com/office/drawing/2014/main" id="{FD1B6925-C38F-446C-B9B3-11BAF53564C5}"/>
            </a:ext>
            <a:ext uri="{147F2762-F138-4A5C-976F-8EAC2B608ADB}">
              <a16:predDERef xmlns:a16="http://schemas.microsoft.com/office/drawing/2014/main" pred="{E89D1526-DDBB-4DDE-B235-3699402343F6}"/>
            </a:ext>
          </a:extLst>
        </xdr:cNvPr>
        <xdr:cNvSpPr/>
      </xdr:nvSpPr>
      <xdr:spPr>
        <a:xfrm>
          <a:off x="80391000" y="12477750"/>
          <a:ext cx="171450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EN PROCESO</a:t>
          </a:r>
        </a:p>
      </xdr:txBody>
    </xdr:sp>
    <xdr:clientData/>
  </xdr:twoCellAnchor>
  <xdr:twoCellAnchor>
    <xdr:from>
      <xdr:col>66</xdr:col>
      <xdr:colOff>19050</xdr:colOff>
      <xdr:row>37</xdr:row>
      <xdr:rowOff>47625</xdr:rowOff>
    </xdr:from>
    <xdr:to>
      <xdr:col>67</xdr:col>
      <xdr:colOff>19050</xdr:colOff>
      <xdr:row>37</xdr:row>
      <xdr:rowOff>314325</xdr:rowOff>
    </xdr:to>
    <xdr:sp macro="" textlink="">
      <xdr:nvSpPr>
        <xdr:cNvPr id="55" name="Rectángulo redondeado 54">
          <a:extLst>
            <a:ext uri="{FF2B5EF4-FFF2-40B4-BE49-F238E27FC236}">
              <a16:creationId xmlns:a16="http://schemas.microsoft.com/office/drawing/2014/main" id="{7A4E7546-C89A-4F6F-9CA8-27B972AC4F76}"/>
            </a:ext>
            <a:ext uri="{147F2762-F138-4A5C-976F-8EAC2B608ADB}">
              <a16:predDERef xmlns:a16="http://schemas.microsoft.com/office/drawing/2014/main" pred="{FD1B6925-C38F-446C-B9B3-11BAF53564C5}"/>
            </a:ext>
          </a:extLst>
        </xdr:cNvPr>
        <xdr:cNvSpPr/>
      </xdr:nvSpPr>
      <xdr:spPr>
        <a:xfrm>
          <a:off x="80391000" y="12858750"/>
          <a:ext cx="17335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67</xdr:col>
      <xdr:colOff>19050</xdr:colOff>
      <xdr:row>38</xdr:row>
      <xdr:rowOff>57150</xdr:rowOff>
    </xdr:from>
    <xdr:to>
      <xdr:col>69</xdr:col>
      <xdr:colOff>0</xdr:colOff>
      <xdr:row>38</xdr:row>
      <xdr:rowOff>323850</xdr:rowOff>
    </xdr:to>
    <xdr:sp macro="" textlink="">
      <xdr:nvSpPr>
        <xdr:cNvPr id="56" name="Rectángulo redondeado 55">
          <a:extLst>
            <a:ext uri="{FF2B5EF4-FFF2-40B4-BE49-F238E27FC236}">
              <a16:creationId xmlns:a16="http://schemas.microsoft.com/office/drawing/2014/main" id="{B8746E09-0912-4BA8-9323-E690EEB6CB5D}"/>
            </a:ext>
            <a:ext uri="{147F2762-F138-4A5C-976F-8EAC2B608ADB}">
              <a16:predDERef xmlns:a16="http://schemas.microsoft.com/office/drawing/2014/main" pred="{7A4E7546-C89A-4F6F-9CA8-27B972AC4F76}"/>
            </a:ext>
          </a:extLst>
        </xdr:cNvPr>
        <xdr:cNvSpPr/>
      </xdr:nvSpPr>
      <xdr:spPr>
        <a:xfrm>
          <a:off x="97926525" y="13249275"/>
          <a:ext cx="34480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FINALIZADO</a:t>
          </a:r>
        </a:p>
      </xdr:txBody>
    </xdr:sp>
    <xdr:clientData/>
  </xdr:twoCellAnchor>
  <xdr:twoCellAnchor>
    <xdr:from>
      <xdr:col>73</xdr:col>
      <xdr:colOff>0</xdr:colOff>
      <xdr:row>39</xdr:row>
      <xdr:rowOff>47625</xdr:rowOff>
    </xdr:from>
    <xdr:to>
      <xdr:col>75</xdr:col>
      <xdr:colOff>0</xdr:colOff>
      <xdr:row>39</xdr:row>
      <xdr:rowOff>314325</xdr:rowOff>
    </xdr:to>
    <xdr:sp macro="" textlink="">
      <xdr:nvSpPr>
        <xdr:cNvPr id="57" name="Rectángulo redondeado 56">
          <a:extLst>
            <a:ext uri="{FF2B5EF4-FFF2-40B4-BE49-F238E27FC236}">
              <a16:creationId xmlns:a16="http://schemas.microsoft.com/office/drawing/2014/main" id="{FC87E467-D37A-47F0-B5FB-0E5072E5EA16}"/>
            </a:ext>
            <a:ext uri="{147F2762-F138-4A5C-976F-8EAC2B608ADB}">
              <a16:predDERef xmlns:a16="http://schemas.microsoft.com/office/drawing/2014/main" pred="{B8746E09-0912-4BA8-9323-E690EEB6CB5D}"/>
            </a:ext>
          </a:extLst>
        </xdr:cNvPr>
        <xdr:cNvSpPr/>
      </xdr:nvSpPr>
      <xdr:spPr>
        <a:xfrm>
          <a:off x="108308775" y="13639800"/>
          <a:ext cx="34671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FINALIZADO</a:t>
          </a:r>
        </a:p>
      </xdr:txBody>
    </xdr:sp>
    <xdr:clientData/>
  </xdr:twoCellAnchor>
  <xdr:twoCellAnchor>
    <xdr:from>
      <xdr:col>75</xdr:col>
      <xdr:colOff>0</xdr:colOff>
      <xdr:row>40</xdr:row>
      <xdr:rowOff>47625</xdr:rowOff>
    </xdr:from>
    <xdr:to>
      <xdr:col>79</xdr:col>
      <xdr:colOff>1714500</xdr:colOff>
      <xdr:row>40</xdr:row>
      <xdr:rowOff>314325</xdr:rowOff>
    </xdr:to>
    <xdr:sp macro="" textlink="">
      <xdr:nvSpPr>
        <xdr:cNvPr id="58" name="Rectángulo redondeado 57">
          <a:extLst>
            <a:ext uri="{FF2B5EF4-FFF2-40B4-BE49-F238E27FC236}">
              <a16:creationId xmlns:a16="http://schemas.microsoft.com/office/drawing/2014/main" id="{CBCD2D40-4DCF-42E0-B2C6-5966FDC70CD6}"/>
            </a:ext>
            <a:ext uri="{147F2762-F138-4A5C-976F-8EAC2B608ADB}">
              <a16:predDERef xmlns:a16="http://schemas.microsoft.com/office/drawing/2014/main" pred="{FC87E467-D37A-47F0-B5FB-0E5072E5EA16}"/>
            </a:ext>
          </a:extLst>
        </xdr:cNvPr>
        <xdr:cNvSpPr/>
      </xdr:nvSpPr>
      <xdr:spPr>
        <a:xfrm>
          <a:off x="111775875" y="14001750"/>
          <a:ext cx="69151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EN PROCESO</a:t>
          </a:r>
        </a:p>
      </xdr:txBody>
    </xdr:sp>
    <xdr:clientData/>
  </xdr:twoCellAnchor>
  <xdr:twoCellAnchor editAs="oneCell">
    <xdr:from>
      <xdr:col>66</xdr:col>
      <xdr:colOff>1638300</xdr:colOff>
      <xdr:row>36</xdr:row>
      <xdr:rowOff>85725</xdr:rowOff>
    </xdr:from>
    <xdr:to>
      <xdr:col>67</xdr:col>
      <xdr:colOff>457200</xdr:colOff>
      <xdr:row>37</xdr:row>
      <xdr:rowOff>257175</xdr:rowOff>
    </xdr:to>
    <xdr:pic>
      <xdr:nvPicPr>
        <xdr:cNvPr id="64" name="Imagen 63">
          <a:extLst>
            <a:ext uri="{FF2B5EF4-FFF2-40B4-BE49-F238E27FC236}">
              <a16:creationId xmlns:a16="http://schemas.microsoft.com/office/drawing/2014/main" id="{BEEAF4D6-FEE4-43AE-BF44-EB7568F4A315}"/>
            </a:ext>
            <a:ext uri="{147F2762-F138-4A5C-976F-8EAC2B608ADB}">
              <a16:predDERef xmlns:a16="http://schemas.microsoft.com/office/drawing/2014/main" pred="{CBCD2D40-4DCF-42E0-B2C6-5966FDC70CD6}"/>
            </a:ext>
          </a:extLst>
        </xdr:cNvPr>
        <xdr:cNvPicPr>
          <a:picLocks noChangeAspect="1"/>
        </xdr:cNvPicPr>
      </xdr:nvPicPr>
      <xdr:blipFill>
        <a:blip xmlns:r="http://schemas.openxmlformats.org/officeDocument/2006/relationships" r:embed="rId1"/>
        <a:stretch>
          <a:fillRect/>
        </a:stretch>
      </xdr:blipFill>
      <xdr:spPr>
        <a:xfrm>
          <a:off x="82010250" y="12515850"/>
          <a:ext cx="552450" cy="552450"/>
        </a:xfrm>
        <a:prstGeom prst="rect">
          <a:avLst/>
        </a:prstGeom>
      </xdr:spPr>
    </xdr:pic>
    <xdr:clientData/>
  </xdr:twoCellAnchor>
  <xdr:twoCellAnchor editAs="oneCell">
    <xdr:from>
      <xdr:col>74</xdr:col>
      <xdr:colOff>1390650</xdr:colOff>
      <xdr:row>38</xdr:row>
      <xdr:rowOff>66675</xdr:rowOff>
    </xdr:from>
    <xdr:to>
      <xdr:col>75</xdr:col>
      <xdr:colOff>209550</xdr:colOff>
      <xdr:row>39</xdr:row>
      <xdr:rowOff>219075</xdr:rowOff>
    </xdr:to>
    <xdr:pic>
      <xdr:nvPicPr>
        <xdr:cNvPr id="65" name="Imagen 64">
          <a:extLst>
            <a:ext uri="{FF2B5EF4-FFF2-40B4-BE49-F238E27FC236}">
              <a16:creationId xmlns:a16="http://schemas.microsoft.com/office/drawing/2014/main" id="{1C28DD09-0A4A-4625-8DBA-8F9598A0BDAE}"/>
            </a:ext>
            <a:ext uri="{147F2762-F138-4A5C-976F-8EAC2B608ADB}">
              <a16:predDERef xmlns:a16="http://schemas.microsoft.com/office/drawing/2014/main" pred="{BEEAF4D6-FEE4-43AE-BF44-EB7568F4A315}"/>
            </a:ext>
          </a:extLst>
        </xdr:cNvPr>
        <xdr:cNvPicPr>
          <a:picLocks noChangeAspect="1"/>
        </xdr:cNvPicPr>
      </xdr:nvPicPr>
      <xdr:blipFill>
        <a:blip xmlns:r="http://schemas.openxmlformats.org/officeDocument/2006/relationships" r:embed="rId1"/>
        <a:stretch>
          <a:fillRect/>
        </a:stretch>
      </xdr:blipFill>
      <xdr:spPr>
        <a:xfrm>
          <a:off x="111432975" y="13258800"/>
          <a:ext cx="552450" cy="552450"/>
        </a:xfrm>
        <a:prstGeom prst="rect">
          <a:avLst/>
        </a:prstGeom>
      </xdr:spPr>
    </xdr:pic>
    <xdr:clientData/>
  </xdr:twoCellAnchor>
  <xdr:twoCellAnchor>
    <xdr:from>
      <xdr:col>76</xdr:col>
      <xdr:colOff>790575</xdr:colOff>
      <xdr:row>1</xdr:row>
      <xdr:rowOff>180975</xdr:rowOff>
    </xdr:from>
    <xdr:to>
      <xdr:col>76</xdr:col>
      <xdr:colOff>790575</xdr:colOff>
      <xdr:row>40</xdr:row>
      <xdr:rowOff>323850</xdr:rowOff>
    </xdr:to>
    <xdr:cxnSp macro="">
      <xdr:nvCxnSpPr>
        <xdr:cNvPr id="4" name="Conector recto 3">
          <a:extLst>
            <a:ext uri="{FF2B5EF4-FFF2-40B4-BE49-F238E27FC236}">
              <a16:creationId xmlns:a16="http://schemas.microsoft.com/office/drawing/2014/main" id="{9B53C584-157C-963D-1642-2DD35116CF7A}"/>
            </a:ext>
            <a:ext uri="{147F2762-F138-4A5C-976F-8EAC2B608ADB}">
              <a16:predDERef xmlns:a16="http://schemas.microsoft.com/office/drawing/2014/main" pred="{1C28DD09-0A4A-4625-8DBA-8F9598A0BDAE}"/>
            </a:ext>
          </a:extLst>
        </xdr:cNvPr>
        <xdr:cNvCxnSpPr>
          <a:cxnSpLocks/>
          <a:extLst>
            <a:ext uri="{5F17804C-33F3-41E3-A699-7DCFA2EF7971}">
              <a16:cxnDERefs xmlns:a16="http://schemas.microsoft.com/office/drawing/2014/main" st="{6EFDD02F-6F90-442E-AB38-5E305E3489EF}" end="{00000000-0000-0000-0000-000000000000}"/>
            </a:ext>
          </a:extLst>
        </xdr:cNvCxnSpPr>
      </xdr:nvCxnSpPr>
      <xdr:spPr>
        <a:xfrm>
          <a:off x="114300000" y="371475"/>
          <a:ext cx="0" cy="1390650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51</xdr:col>
      <xdr:colOff>19050</xdr:colOff>
      <xdr:row>35</xdr:row>
      <xdr:rowOff>76200</xdr:rowOff>
    </xdr:from>
    <xdr:to>
      <xdr:col>52</xdr:col>
      <xdr:colOff>1409700</xdr:colOff>
      <xdr:row>35</xdr:row>
      <xdr:rowOff>342900</xdr:rowOff>
    </xdr:to>
    <xdr:sp macro="" textlink="">
      <xdr:nvSpPr>
        <xdr:cNvPr id="6" name="Rectángulo redondeado 5" descr="La actividad no se cierra ya que todavía no se tiene completa la documentación hasta que se finalice las pruebas" title="Nota">
          <a:extLst>
            <a:ext uri="{FF2B5EF4-FFF2-40B4-BE49-F238E27FC236}">
              <a16:creationId xmlns:a16="http://schemas.microsoft.com/office/drawing/2014/main" id="{31E57830-7EF1-446B-9151-4F0969C6D2E1}"/>
            </a:ext>
            <a:ext uri="{147F2762-F138-4A5C-976F-8EAC2B608ADB}">
              <a16:predDERef xmlns:a16="http://schemas.microsoft.com/office/drawing/2014/main" pred="{9B53C584-157C-963D-1642-2DD35116CF7A}"/>
            </a:ext>
          </a:extLst>
        </xdr:cNvPr>
        <xdr:cNvSpPr/>
      </xdr:nvSpPr>
      <xdr:spPr>
        <a:xfrm>
          <a:off x="70818375" y="12087225"/>
          <a:ext cx="27241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EN PROCESO</a:t>
          </a:r>
        </a:p>
      </xdr:txBody>
    </xdr:sp>
    <xdr:clientData/>
  </xdr:twoCellAnchor>
  <xdr:twoCellAnchor>
    <xdr:from>
      <xdr:col>58</xdr:col>
      <xdr:colOff>0</xdr:colOff>
      <xdr:row>31</xdr:row>
      <xdr:rowOff>38100</xdr:rowOff>
    </xdr:from>
    <xdr:to>
      <xdr:col>59</xdr:col>
      <xdr:colOff>19050</xdr:colOff>
      <xdr:row>31</xdr:row>
      <xdr:rowOff>304800</xdr:rowOff>
    </xdr:to>
    <xdr:sp macro="" textlink="">
      <xdr:nvSpPr>
        <xdr:cNvPr id="9" name="Rectángulo redondeado 8">
          <a:extLst>
            <a:ext uri="{FF2B5EF4-FFF2-40B4-BE49-F238E27FC236}">
              <a16:creationId xmlns:a16="http://schemas.microsoft.com/office/drawing/2014/main" id="{8837BEF4-A7DB-4E5C-83D2-B9478A0AAB1F}"/>
            </a:ext>
            <a:ext uri="{147F2762-F138-4A5C-976F-8EAC2B608ADB}">
              <a16:predDERef xmlns:a16="http://schemas.microsoft.com/office/drawing/2014/main" pred="{31E57830-7EF1-446B-9151-4F0969C6D2E1}"/>
            </a:ext>
          </a:extLst>
        </xdr:cNvPr>
        <xdr:cNvSpPr/>
      </xdr:nvSpPr>
      <xdr:spPr>
        <a:xfrm>
          <a:off x="82305525" y="10582275"/>
          <a:ext cx="17526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REALIZADO</a:t>
          </a:r>
        </a:p>
      </xdr:txBody>
    </xdr:sp>
    <xdr:clientData/>
  </xdr:twoCellAnchor>
  <xdr:twoCellAnchor>
    <xdr:from>
      <xdr:col>70</xdr:col>
      <xdr:colOff>0</xdr:colOff>
      <xdr:row>38</xdr:row>
      <xdr:rowOff>57150</xdr:rowOff>
    </xdr:from>
    <xdr:to>
      <xdr:col>73</xdr:col>
      <xdr:colOff>0</xdr:colOff>
      <xdr:row>38</xdr:row>
      <xdr:rowOff>323850</xdr:rowOff>
    </xdr:to>
    <xdr:sp macro="" textlink="">
      <xdr:nvSpPr>
        <xdr:cNvPr id="10" name="Rectángulo redondeado 9">
          <a:extLst>
            <a:ext uri="{FF2B5EF4-FFF2-40B4-BE49-F238E27FC236}">
              <a16:creationId xmlns:a16="http://schemas.microsoft.com/office/drawing/2014/main" id="{00772F4D-77B7-4497-8787-41A3C70C617A}"/>
            </a:ext>
            <a:ext uri="{147F2762-F138-4A5C-976F-8EAC2B608ADB}">
              <a16:predDERef xmlns:a16="http://schemas.microsoft.com/office/drawing/2014/main" pred="{8837BEF4-A7DB-4E5C-83D2-B9478A0AAB1F}"/>
            </a:ext>
          </a:extLst>
        </xdr:cNvPr>
        <xdr:cNvSpPr/>
      </xdr:nvSpPr>
      <xdr:spPr>
        <a:xfrm>
          <a:off x="103108125" y="13249275"/>
          <a:ext cx="52006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rgbClr val="000000"/>
              </a:solidFill>
              <a:latin typeface="Aptos Narrow" panose="020B0004020202020204" pitchFamily="34" charset="0"/>
            </a:rPr>
            <a:t>FINALIZADO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xdr:row>
      <xdr:rowOff>0</xdr:rowOff>
    </xdr:from>
    <xdr:to>
      <xdr:col>7</xdr:col>
      <xdr:colOff>0</xdr:colOff>
      <xdr:row>2</xdr:row>
      <xdr:rowOff>266700</xdr:rowOff>
    </xdr:to>
    <xdr:sp macro="" textlink="">
      <xdr:nvSpPr>
        <xdr:cNvPr id="46" name="Rectángulo redondeado 45">
          <a:extLst>
            <a:ext uri="{FF2B5EF4-FFF2-40B4-BE49-F238E27FC236}">
              <a16:creationId xmlns:a16="http://schemas.microsoft.com/office/drawing/2014/main" id="{B5A47E9D-B361-4824-B1D8-734E99547B3E}"/>
            </a:ext>
            <a:ext uri="{147F2762-F138-4A5C-976F-8EAC2B608ADB}">
              <a16:predDERef xmlns:a16="http://schemas.microsoft.com/office/drawing/2014/main" pred="{A406925F-5A1C-4044-A4AD-B508DC41C8CE}"/>
            </a:ext>
          </a:extLst>
        </xdr:cNvPr>
        <xdr:cNvSpPr/>
      </xdr:nvSpPr>
      <xdr:spPr>
        <a:xfrm>
          <a:off x="9324975" y="38100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7</xdr:col>
      <xdr:colOff>0</xdr:colOff>
      <xdr:row>3</xdr:row>
      <xdr:rowOff>38100</xdr:rowOff>
    </xdr:from>
    <xdr:to>
      <xdr:col>8</xdr:col>
      <xdr:colOff>0</xdr:colOff>
      <xdr:row>3</xdr:row>
      <xdr:rowOff>304800</xdr:rowOff>
    </xdr:to>
    <xdr:sp macro="" textlink="">
      <xdr:nvSpPr>
        <xdr:cNvPr id="47" name="Rectángulo redondeado 46">
          <a:extLst>
            <a:ext uri="{FF2B5EF4-FFF2-40B4-BE49-F238E27FC236}">
              <a16:creationId xmlns:a16="http://schemas.microsoft.com/office/drawing/2014/main" id="{706961C5-F76F-42A5-94C5-39E6361DAFB4}"/>
            </a:ext>
            <a:ext uri="{147F2762-F138-4A5C-976F-8EAC2B608ADB}">
              <a16:predDERef xmlns:a16="http://schemas.microsoft.com/office/drawing/2014/main" pred="{B5A47E9D-B361-4824-B1D8-734E99547B3E}"/>
            </a:ext>
          </a:extLst>
        </xdr:cNvPr>
        <xdr:cNvSpPr/>
      </xdr:nvSpPr>
      <xdr:spPr>
        <a:xfrm>
          <a:off x="11401425" y="790575"/>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8</xdr:col>
      <xdr:colOff>0</xdr:colOff>
      <xdr:row>4</xdr:row>
      <xdr:rowOff>66675</xdr:rowOff>
    </xdr:from>
    <xdr:to>
      <xdr:col>9</xdr:col>
      <xdr:colOff>2038350</xdr:colOff>
      <xdr:row>4</xdr:row>
      <xdr:rowOff>333375</xdr:rowOff>
    </xdr:to>
    <xdr:sp macro="" textlink="">
      <xdr:nvSpPr>
        <xdr:cNvPr id="48" name="Rectángulo redondeado 47">
          <a:extLst>
            <a:ext uri="{FF2B5EF4-FFF2-40B4-BE49-F238E27FC236}">
              <a16:creationId xmlns:a16="http://schemas.microsoft.com/office/drawing/2014/main" id="{88475D85-9C4E-4F1E-8190-A329AC44CB6F}"/>
            </a:ext>
            <a:ext uri="{147F2762-F138-4A5C-976F-8EAC2B608ADB}">
              <a16:predDERef xmlns:a16="http://schemas.microsoft.com/office/drawing/2014/main" pred="{706961C5-F76F-42A5-94C5-39E6361DAFB4}"/>
            </a:ext>
          </a:extLst>
        </xdr:cNvPr>
        <xdr:cNvSpPr/>
      </xdr:nvSpPr>
      <xdr:spPr>
        <a:xfrm>
          <a:off x="13477875" y="1209675"/>
          <a:ext cx="41148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10</xdr:col>
      <xdr:colOff>0</xdr:colOff>
      <xdr:row>5</xdr:row>
      <xdr:rowOff>47625</xdr:rowOff>
    </xdr:from>
    <xdr:to>
      <xdr:col>11</xdr:col>
      <xdr:colOff>0</xdr:colOff>
      <xdr:row>5</xdr:row>
      <xdr:rowOff>314325</xdr:rowOff>
    </xdr:to>
    <xdr:sp macro="" textlink="">
      <xdr:nvSpPr>
        <xdr:cNvPr id="49" name="Rectángulo redondeado 48">
          <a:extLst>
            <a:ext uri="{FF2B5EF4-FFF2-40B4-BE49-F238E27FC236}">
              <a16:creationId xmlns:a16="http://schemas.microsoft.com/office/drawing/2014/main" id="{8E42199C-78DC-4378-9023-726FAF347F84}"/>
            </a:ext>
            <a:ext uri="{147F2762-F138-4A5C-976F-8EAC2B608ADB}">
              <a16:predDERef xmlns:a16="http://schemas.microsoft.com/office/drawing/2014/main" pred="{88475D85-9C4E-4F1E-8190-A329AC44CB6F}"/>
            </a:ext>
          </a:extLst>
        </xdr:cNvPr>
        <xdr:cNvSpPr/>
      </xdr:nvSpPr>
      <xdr:spPr>
        <a:xfrm>
          <a:off x="17630775" y="161925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15</xdr:col>
      <xdr:colOff>0</xdr:colOff>
      <xdr:row>7</xdr:row>
      <xdr:rowOff>28575</xdr:rowOff>
    </xdr:from>
    <xdr:to>
      <xdr:col>17</xdr:col>
      <xdr:colOff>2057400</xdr:colOff>
      <xdr:row>7</xdr:row>
      <xdr:rowOff>295275</xdr:rowOff>
    </xdr:to>
    <xdr:sp macro="" textlink="">
      <xdr:nvSpPr>
        <xdr:cNvPr id="51" name="Rectángulo redondeado 50">
          <a:extLst>
            <a:ext uri="{FF2B5EF4-FFF2-40B4-BE49-F238E27FC236}">
              <a16:creationId xmlns:a16="http://schemas.microsoft.com/office/drawing/2014/main" id="{D77152DC-0E95-4C83-9D66-BE6785E88CBB}"/>
            </a:ext>
            <a:ext uri="{147F2762-F138-4A5C-976F-8EAC2B608ADB}">
              <a16:predDERef xmlns:a16="http://schemas.microsoft.com/office/drawing/2014/main" pred="{8E42199C-78DC-4378-9023-726FAF347F84}"/>
            </a:ext>
          </a:extLst>
        </xdr:cNvPr>
        <xdr:cNvSpPr/>
      </xdr:nvSpPr>
      <xdr:spPr>
        <a:xfrm>
          <a:off x="21783675" y="2381250"/>
          <a:ext cx="62103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18</xdr:col>
      <xdr:colOff>0</xdr:colOff>
      <xdr:row>8</xdr:row>
      <xdr:rowOff>28575</xdr:rowOff>
    </xdr:from>
    <xdr:to>
      <xdr:col>19</xdr:col>
      <xdr:colOff>2066925</xdr:colOff>
      <xdr:row>8</xdr:row>
      <xdr:rowOff>295275</xdr:rowOff>
    </xdr:to>
    <xdr:sp macro="" textlink="">
      <xdr:nvSpPr>
        <xdr:cNvPr id="52" name="Rectángulo redondeado 51">
          <a:extLst>
            <a:ext uri="{FF2B5EF4-FFF2-40B4-BE49-F238E27FC236}">
              <a16:creationId xmlns:a16="http://schemas.microsoft.com/office/drawing/2014/main" id="{6B98EE54-1948-495B-B5B0-B56A03F85C9B}"/>
            </a:ext>
            <a:ext uri="{147F2762-F138-4A5C-976F-8EAC2B608ADB}">
              <a16:predDERef xmlns:a16="http://schemas.microsoft.com/office/drawing/2014/main" pred="{D77152DC-0E95-4C83-9D66-BE6785E88CBB}"/>
            </a:ext>
          </a:extLst>
        </xdr:cNvPr>
        <xdr:cNvSpPr/>
      </xdr:nvSpPr>
      <xdr:spPr>
        <a:xfrm>
          <a:off x="34242375" y="2762250"/>
          <a:ext cx="414337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20</xdr:col>
      <xdr:colOff>0</xdr:colOff>
      <xdr:row>9</xdr:row>
      <xdr:rowOff>104775</xdr:rowOff>
    </xdr:from>
    <xdr:to>
      <xdr:col>21</xdr:col>
      <xdr:colOff>0</xdr:colOff>
      <xdr:row>9</xdr:row>
      <xdr:rowOff>371475</xdr:rowOff>
    </xdr:to>
    <xdr:sp macro="" textlink="">
      <xdr:nvSpPr>
        <xdr:cNvPr id="53" name="Rectángulo redondeado 52">
          <a:extLst>
            <a:ext uri="{FF2B5EF4-FFF2-40B4-BE49-F238E27FC236}">
              <a16:creationId xmlns:a16="http://schemas.microsoft.com/office/drawing/2014/main" id="{B84762EF-75ED-4F21-B704-3C835E79B416}"/>
            </a:ext>
            <a:ext uri="{147F2762-F138-4A5C-976F-8EAC2B608ADB}">
              <a16:predDERef xmlns:a16="http://schemas.microsoft.com/office/drawing/2014/main" pred="{6B98EE54-1948-495B-B5B0-B56A03F85C9B}"/>
            </a:ext>
          </a:extLst>
        </xdr:cNvPr>
        <xdr:cNvSpPr/>
      </xdr:nvSpPr>
      <xdr:spPr>
        <a:xfrm>
          <a:off x="30089475" y="3190875"/>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21</xdr:col>
      <xdr:colOff>0</xdr:colOff>
      <xdr:row>10</xdr:row>
      <xdr:rowOff>95250</xdr:rowOff>
    </xdr:from>
    <xdr:to>
      <xdr:col>24</xdr:col>
      <xdr:colOff>2057400</xdr:colOff>
      <xdr:row>10</xdr:row>
      <xdr:rowOff>361950</xdr:rowOff>
    </xdr:to>
    <xdr:sp macro="" textlink="">
      <xdr:nvSpPr>
        <xdr:cNvPr id="54" name="Rectángulo redondeado 53">
          <a:extLst>
            <a:ext uri="{FF2B5EF4-FFF2-40B4-BE49-F238E27FC236}">
              <a16:creationId xmlns:a16="http://schemas.microsoft.com/office/drawing/2014/main" id="{7F0DEC80-08FE-46D1-ABBA-6FD6154467D7}"/>
            </a:ext>
            <a:ext uri="{147F2762-F138-4A5C-976F-8EAC2B608ADB}">
              <a16:predDERef xmlns:a16="http://schemas.microsoft.com/office/drawing/2014/main" pred="{B84762EF-75ED-4F21-B704-3C835E79B416}"/>
            </a:ext>
          </a:extLst>
        </xdr:cNvPr>
        <xdr:cNvSpPr/>
      </xdr:nvSpPr>
      <xdr:spPr>
        <a:xfrm>
          <a:off x="32165925" y="3648075"/>
          <a:ext cx="82867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26</xdr:col>
      <xdr:colOff>2057400</xdr:colOff>
      <xdr:row>11</xdr:row>
      <xdr:rowOff>95250</xdr:rowOff>
    </xdr:from>
    <xdr:to>
      <xdr:col>29</xdr:col>
      <xdr:colOff>2057400</xdr:colOff>
      <xdr:row>11</xdr:row>
      <xdr:rowOff>361950</xdr:rowOff>
    </xdr:to>
    <xdr:sp macro="" textlink="">
      <xdr:nvSpPr>
        <xdr:cNvPr id="55" name="Rectángulo redondeado 54">
          <a:extLst>
            <a:ext uri="{FF2B5EF4-FFF2-40B4-BE49-F238E27FC236}">
              <a16:creationId xmlns:a16="http://schemas.microsoft.com/office/drawing/2014/main" id="{01787E47-2219-4F18-8E49-7781C6C5D95E}"/>
            </a:ext>
            <a:ext uri="{147F2762-F138-4A5C-976F-8EAC2B608ADB}">
              <a16:predDERef xmlns:a16="http://schemas.microsoft.com/office/drawing/2014/main" pred="{7F0DEC80-08FE-46D1-ABBA-6FD6154467D7}"/>
            </a:ext>
          </a:extLst>
        </xdr:cNvPr>
        <xdr:cNvSpPr/>
      </xdr:nvSpPr>
      <xdr:spPr>
        <a:xfrm>
          <a:off x="52911375" y="4124325"/>
          <a:ext cx="62293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30</xdr:col>
      <xdr:colOff>0</xdr:colOff>
      <xdr:row>12</xdr:row>
      <xdr:rowOff>133350</xdr:rowOff>
    </xdr:from>
    <xdr:to>
      <xdr:col>32</xdr:col>
      <xdr:colOff>2057400</xdr:colOff>
      <xdr:row>12</xdr:row>
      <xdr:rowOff>400050</xdr:rowOff>
    </xdr:to>
    <xdr:sp macro="" textlink="">
      <xdr:nvSpPr>
        <xdr:cNvPr id="56" name="Rectángulo redondeado 55">
          <a:extLst>
            <a:ext uri="{FF2B5EF4-FFF2-40B4-BE49-F238E27FC236}">
              <a16:creationId xmlns:a16="http://schemas.microsoft.com/office/drawing/2014/main" id="{E453B56C-F82E-4C66-944D-5EFE2A116B1D}"/>
            </a:ext>
            <a:ext uri="{147F2762-F138-4A5C-976F-8EAC2B608ADB}">
              <a16:predDERef xmlns:a16="http://schemas.microsoft.com/office/drawing/2014/main" pred="{01787E47-2219-4F18-8E49-7781C6C5D95E}"/>
            </a:ext>
          </a:extLst>
        </xdr:cNvPr>
        <xdr:cNvSpPr/>
      </xdr:nvSpPr>
      <xdr:spPr>
        <a:xfrm>
          <a:off x="44624625" y="4705350"/>
          <a:ext cx="62103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33</xdr:col>
      <xdr:colOff>0</xdr:colOff>
      <xdr:row>13</xdr:row>
      <xdr:rowOff>85725</xdr:rowOff>
    </xdr:from>
    <xdr:to>
      <xdr:col>34</xdr:col>
      <xdr:colOff>0</xdr:colOff>
      <xdr:row>13</xdr:row>
      <xdr:rowOff>352425</xdr:rowOff>
    </xdr:to>
    <xdr:sp macro="" textlink="">
      <xdr:nvSpPr>
        <xdr:cNvPr id="57" name="Rectángulo redondeado 56">
          <a:extLst>
            <a:ext uri="{FF2B5EF4-FFF2-40B4-BE49-F238E27FC236}">
              <a16:creationId xmlns:a16="http://schemas.microsoft.com/office/drawing/2014/main" id="{DDDB72DC-EB70-4F5C-9054-9015BF8A425C}"/>
            </a:ext>
            <a:ext uri="{147F2762-F138-4A5C-976F-8EAC2B608ADB}">
              <a16:predDERef xmlns:a16="http://schemas.microsoft.com/office/drawing/2014/main" pred="{E453B56C-F82E-4C66-944D-5EFE2A116B1D}"/>
            </a:ext>
          </a:extLst>
        </xdr:cNvPr>
        <xdr:cNvSpPr/>
      </xdr:nvSpPr>
      <xdr:spPr>
        <a:xfrm>
          <a:off x="50853975" y="5229225"/>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34</xdr:col>
      <xdr:colOff>0</xdr:colOff>
      <xdr:row>14</xdr:row>
      <xdr:rowOff>133350</xdr:rowOff>
    </xdr:from>
    <xdr:to>
      <xdr:col>35</xdr:col>
      <xdr:colOff>0</xdr:colOff>
      <xdr:row>14</xdr:row>
      <xdr:rowOff>400050</xdr:rowOff>
    </xdr:to>
    <xdr:sp macro="" textlink="">
      <xdr:nvSpPr>
        <xdr:cNvPr id="58" name="Rectángulo redondeado 57">
          <a:extLst>
            <a:ext uri="{FF2B5EF4-FFF2-40B4-BE49-F238E27FC236}">
              <a16:creationId xmlns:a16="http://schemas.microsoft.com/office/drawing/2014/main" id="{30665003-B8AC-407C-A2A5-6DE5097D8DBD}"/>
            </a:ext>
            <a:ext uri="{147F2762-F138-4A5C-976F-8EAC2B608ADB}">
              <a16:predDERef xmlns:a16="http://schemas.microsoft.com/office/drawing/2014/main" pred="{DDDB72DC-EB70-4F5C-9054-9015BF8A425C}"/>
            </a:ext>
          </a:extLst>
        </xdr:cNvPr>
        <xdr:cNvSpPr/>
      </xdr:nvSpPr>
      <xdr:spPr>
        <a:xfrm>
          <a:off x="52930425" y="571500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40</xdr:col>
      <xdr:colOff>19050</xdr:colOff>
      <xdr:row>16</xdr:row>
      <xdr:rowOff>123825</xdr:rowOff>
    </xdr:from>
    <xdr:to>
      <xdr:col>40</xdr:col>
      <xdr:colOff>2047875</xdr:colOff>
      <xdr:row>16</xdr:row>
      <xdr:rowOff>390525</xdr:rowOff>
    </xdr:to>
    <xdr:sp macro="" textlink="">
      <xdr:nvSpPr>
        <xdr:cNvPr id="59" name="Rectángulo redondeado 58">
          <a:extLst>
            <a:ext uri="{FF2B5EF4-FFF2-40B4-BE49-F238E27FC236}">
              <a16:creationId xmlns:a16="http://schemas.microsoft.com/office/drawing/2014/main" id="{675D3AFF-5B52-407A-BD7E-1C866AE9A685}"/>
            </a:ext>
            <a:ext uri="{147F2762-F138-4A5C-976F-8EAC2B608ADB}">
              <a16:predDERef xmlns:a16="http://schemas.microsoft.com/office/drawing/2014/main" pred="{30665003-B8AC-407C-A2A5-6DE5097D8DBD}"/>
            </a:ext>
          </a:extLst>
        </xdr:cNvPr>
        <xdr:cNvSpPr/>
      </xdr:nvSpPr>
      <xdr:spPr>
        <a:xfrm>
          <a:off x="79943325" y="6791325"/>
          <a:ext cx="20288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43</xdr:col>
      <xdr:colOff>0</xdr:colOff>
      <xdr:row>17</xdr:row>
      <xdr:rowOff>152400</xdr:rowOff>
    </xdr:from>
    <xdr:to>
      <xdr:col>44</xdr:col>
      <xdr:colOff>0</xdr:colOff>
      <xdr:row>17</xdr:row>
      <xdr:rowOff>419100</xdr:rowOff>
    </xdr:to>
    <xdr:sp macro="" textlink="">
      <xdr:nvSpPr>
        <xdr:cNvPr id="60" name="Rectángulo redondeado 59">
          <a:extLst>
            <a:ext uri="{FF2B5EF4-FFF2-40B4-BE49-F238E27FC236}">
              <a16:creationId xmlns:a16="http://schemas.microsoft.com/office/drawing/2014/main" id="{0677E79A-9D10-484B-8981-C3B0B616C384}"/>
            </a:ext>
            <a:ext uri="{147F2762-F138-4A5C-976F-8EAC2B608ADB}">
              <a16:predDERef xmlns:a16="http://schemas.microsoft.com/office/drawing/2014/main" pred="{675D3AFF-5B52-407A-BD7E-1C866AE9A685}"/>
            </a:ext>
          </a:extLst>
        </xdr:cNvPr>
        <xdr:cNvSpPr/>
      </xdr:nvSpPr>
      <xdr:spPr>
        <a:xfrm>
          <a:off x="59159775" y="681990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44</xdr:col>
      <xdr:colOff>0</xdr:colOff>
      <xdr:row>18</xdr:row>
      <xdr:rowOff>123825</xdr:rowOff>
    </xdr:from>
    <xdr:to>
      <xdr:col>45</xdr:col>
      <xdr:colOff>2057400</xdr:colOff>
      <xdr:row>18</xdr:row>
      <xdr:rowOff>390525</xdr:rowOff>
    </xdr:to>
    <xdr:sp macro="" textlink="">
      <xdr:nvSpPr>
        <xdr:cNvPr id="61" name="Rectángulo redondeado 60">
          <a:extLst>
            <a:ext uri="{FF2B5EF4-FFF2-40B4-BE49-F238E27FC236}">
              <a16:creationId xmlns:a16="http://schemas.microsoft.com/office/drawing/2014/main" id="{36EAD8DE-8432-4F67-98D2-7E94A8A9FD09}"/>
            </a:ext>
            <a:ext uri="{147F2762-F138-4A5C-976F-8EAC2B608ADB}">
              <a16:predDERef xmlns:a16="http://schemas.microsoft.com/office/drawing/2014/main" pred="{0677E79A-9D10-484B-8981-C3B0B616C384}"/>
            </a:ext>
          </a:extLst>
        </xdr:cNvPr>
        <xdr:cNvSpPr/>
      </xdr:nvSpPr>
      <xdr:spPr>
        <a:xfrm>
          <a:off x="61236225" y="7343775"/>
          <a:ext cx="41338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46</xdr:col>
      <xdr:colOff>0</xdr:colOff>
      <xdr:row>19</xdr:row>
      <xdr:rowOff>85725</xdr:rowOff>
    </xdr:from>
    <xdr:to>
      <xdr:col>49</xdr:col>
      <xdr:colOff>0</xdr:colOff>
      <xdr:row>19</xdr:row>
      <xdr:rowOff>352425</xdr:rowOff>
    </xdr:to>
    <xdr:sp macro="" textlink="">
      <xdr:nvSpPr>
        <xdr:cNvPr id="62" name="Rectángulo redondeado 61">
          <a:extLst>
            <a:ext uri="{FF2B5EF4-FFF2-40B4-BE49-F238E27FC236}">
              <a16:creationId xmlns:a16="http://schemas.microsoft.com/office/drawing/2014/main" id="{2F9FD52F-4655-4590-AA8F-FFF8F3F21BA5}"/>
            </a:ext>
            <a:ext uri="{147F2762-F138-4A5C-976F-8EAC2B608ADB}">
              <a16:predDERef xmlns:a16="http://schemas.microsoft.com/office/drawing/2014/main" pred="{36EAD8DE-8432-4F67-98D2-7E94A8A9FD09}"/>
            </a:ext>
          </a:extLst>
        </xdr:cNvPr>
        <xdr:cNvSpPr/>
      </xdr:nvSpPr>
      <xdr:spPr>
        <a:xfrm>
          <a:off x="92382975" y="8353425"/>
          <a:ext cx="62293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58</xdr:col>
      <xdr:colOff>0</xdr:colOff>
      <xdr:row>20</xdr:row>
      <xdr:rowOff>123825</xdr:rowOff>
    </xdr:from>
    <xdr:to>
      <xdr:col>60</xdr:col>
      <xdr:colOff>0</xdr:colOff>
      <xdr:row>20</xdr:row>
      <xdr:rowOff>390525</xdr:rowOff>
    </xdr:to>
    <xdr:sp macro="" textlink="">
      <xdr:nvSpPr>
        <xdr:cNvPr id="63" name="Rectángulo redondeado 62">
          <a:extLst>
            <a:ext uri="{FF2B5EF4-FFF2-40B4-BE49-F238E27FC236}">
              <a16:creationId xmlns:a16="http://schemas.microsoft.com/office/drawing/2014/main" id="{322A2558-7688-43E0-8F20-D41161F9BB05}"/>
            </a:ext>
            <a:ext uri="{147F2762-F138-4A5C-976F-8EAC2B608ADB}">
              <a16:predDERef xmlns:a16="http://schemas.microsoft.com/office/drawing/2014/main" pred="{2F9FD52F-4655-4590-AA8F-FFF8F3F21BA5}"/>
            </a:ext>
          </a:extLst>
        </xdr:cNvPr>
        <xdr:cNvSpPr/>
      </xdr:nvSpPr>
      <xdr:spPr>
        <a:xfrm>
          <a:off x="117300375" y="8905875"/>
          <a:ext cx="41529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62</xdr:col>
      <xdr:colOff>2047875</xdr:colOff>
      <xdr:row>21</xdr:row>
      <xdr:rowOff>171450</xdr:rowOff>
    </xdr:from>
    <xdr:to>
      <xdr:col>67</xdr:col>
      <xdr:colOff>2066925</xdr:colOff>
      <xdr:row>21</xdr:row>
      <xdr:rowOff>438150</xdr:rowOff>
    </xdr:to>
    <xdr:sp macro="" textlink="">
      <xdr:nvSpPr>
        <xdr:cNvPr id="64" name="Rectángulo redondeado 63">
          <a:extLst>
            <a:ext uri="{FF2B5EF4-FFF2-40B4-BE49-F238E27FC236}">
              <a16:creationId xmlns:a16="http://schemas.microsoft.com/office/drawing/2014/main" id="{A4760437-9426-480F-AF9C-F967AF3D0FC5}"/>
            </a:ext>
            <a:ext uri="{147F2762-F138-4A5C-976F-8EAC2B608ADB}">
              <a16:predDERef xmlns:a16="http://schemas.microsoft.com/office/drawing/2014/main" pred="{322A2558-7688-43E0-8F20-D41161F9BB05}"/>
            </a:ext>
          </a:extLst>
        </xdr:cNvPr>
        <xdr:cNvSpPr/>
      </xdr:nvSpPr>
      <xdr:spPr>
        <a:xfrm>
          <a:off x="127654050" y="9534525"/>
          <a:ext cx="104013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68</xdr:col>
      <xdr:colOff>9525</xdr:colOff>
      <xdr:row>22</xdr:row>
      <xdr:rowOff>171450</xdr:rowOff>
    </xdr:from>
    <xdr:to>
      <xdr:col>70</xdr:col>
      <xdr:colOff>2047875</xdr:colOff>
      <xdr:row>22</xdr:row>
      <xdr:rowOff>438150</xdr:rowOff>
    </xdr:to>
    <xdr:sp macro="" textlink="">
      <xdr:nvSpPr>
        <xdr:cNvPr id="65" name="Rectángulo redondeado 64">
          <a:extLst>
            <a:ext uri="{FF2B5EF4-FFF2-40B4-BE49-F238E27FC236}">
              <a16:creationId xmlns:a16="http://schemas.microsoft.com/office/drawing/2014/main" id="{35E500AC-AA5B-4782-8366-1098998FE493}"/>
            </a:ext>
            <a:ext uri="{147F2762-F138-4A5C-976F-8EAC2B608ADB}">
              <a16:predDERef xmlns:a16="http://schemas.microsoft.com/office/drawing/2014/main" pred="{A4760437-9426-480F-AF9C-F967AF3D0FC5}"/>
            </a:ext>
          </a:extLst>
        </xdr:cNvPr>
        <xdr:cNvSpPr/>
      </xdr:nvSpPr>
      <xdr:spPr>
        <a:xfrm>
          <a:off x="138074400" y="10115550"/>
          <a:ext cx="61912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77</xdr:col>
      <xdr:colOff>9525</xdr:colOff>
      <xdr:row>23</xdr:row>
      <xdr:rowOff>114300</xdr:rowOff>
    </xdr:from>
    <xdr:to>
      <xdr:col>81</xdr:col>
      <xdr:colOff>2066925</xdr:colOff>
      <xdr:row>23</xdr:row>
      <xdr:rowOff>381000</xdr:rowOff>
    </xdr:to>
    <xdr:sp macro="" textlink="">
      <xdr:nvSpPr>
        <xdr:cNvPr id="66" name="Rectángulo redondeado 65">
          <a:extLst>
            <a:ext uri="{FF2B5EF4-FFF2-40B4-BE49-F238E27FC236}">
              <a16:creationId xmlns:a16="http://schemas.microsoft.com/office/drawing/2014/main" id="{1DC7CC91-A924-4B90-BF7B-4E2625511C3C}"/>
            </a:ext>
            <a:ext uri="{147F2762-F138-4A5C-976F-8EAC2B608ADB}">
              <a16:predDERef xmlns:a16="http://schemas.microsoft.com/office/drawing/2014/main" pred="{35E500AC-AA5B-4782-8366-1098998FE493}"/>
            </a:ext>
          </a:extLst>
        </xdr:cNvPr>
        <xdr:cNvSpPr/>
      </xdr:nvSpPr>
      <xdr:spPr>
        <a:xfrm>
          <a:off x="127692150" y="10620375"/>
          <a:ext cx="10401300" cy="266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82</xdr:col>
      <xdr:colOff>19050</xdr:colOff>
      <xdr:row>24</xdr:row>
      <xdr:rowOff>123825</xdr:rowOff>
    </xdr:from>
    <xdr:to>
      <xdr:col>83</xdr:col>
      <xdr:colOff>2057400</xdr:colOff>
      <xdr:row>24</xdr:row>
      <xdr:rowOff>390525</xdr:rowOff>
    </xdr:to>
    <xdr:sp macro="" textlink="">
      <xdr:nvSpPr>
        <xdr:cNvPr id="67" name="Rectángulo redondeado 66">
          <a:extLst>
            <a:ext uri="{FF2B5EF4-FFF2-40B4-BE49-F238E27FC236}">
              <a16:creationId xmlns:a16="http://schemas.microsoft.com/office/drawing/2014/main" id="{2CFFBF99-CF90-4FEE-8189-DECFC9898A2D}"/>
            </a:ext>
            <a:ext uri="{147F2762-F138-4A5C-976F-8EAC2B608ADB}">
              <a16:predDERef xmlns:a16="http://schemas.microsoft.com/office/drawing/2014/main" pred="{1DC7CC91-A924-4B90-BF7B-4E2625511C3C}"/>
            </a:ext>
          </a:extLst>
        </xdr:cNvPr>
        <xdr:cNvSpPr/>
      </xdr:nvSpPr>
      <xdr:spPr>
        <a:xfrm>
          <a:off x="138141075" y="11229975"/>
          <a:ext cx="413385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84</xdr:col>
      <xdr:colOff>0</xdr:colOff>
      <xdr:row>27</xdr:row>
      <xdr:rowOff>152400</xdr:rowOff>
    </xdr:from>
    <xdr:to>
      <xdr:col>85</xdr:col>
      <xdr:colOff>0</xdr:colOff>
      <xdr:row>27</xdr:row>
      <xdr:rowOff>419100</xdr:rowOff>
    </xdr:to>
    <xdr:sp macro="" textlink="">
      <xdr:nvSpPr>
        <xdr:cNvPr id="73" name="Rectángulo redondeado 72">
          <a:extLst>
            <a:ext uri="{FF2B5EF4-FFF2-40B4-BE49-F238E27FC236}">
              <a16:creationId xmlns:a16="http://schemas.microsoft.com/office/drawing/2014/main" id="{F8E10029-254A-4B3A-9B71-82B8A66EB811}"/>
            </a:ext>
            <a:ext uri="{147F2762-F138-4A5C-976F-8EAC2B608ADB}">
              <a16:predDERef xmlns:a16="http://schemas.microsoft.com/office/drawing/2014/main" pred="{1A3E1288-3327-41B7-A0B4-B5E4FECC94D5}"/>
            </a:ext>
          </a:extLst>
        </xdr:cNvPr>
        <xdr:cNvSpPr/>
      </xdr:nvSpPr>
      <xdr:spPr>
        <a:xfrm>
          <a:off x="100707825" y="12515850"/>
          <a:ext cx="226695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86</xdr:col>
      <xdr:colOff>0</xdr:colOff>
      <xdr:row>30</xdr:row>
      <xdr:rowOff>180975</xdr:rowOff>
    </xdr:from>
    <xdr:to>
      <xdr:col>90</xdr:col>
      <xdr:colOff>2247900</xdr:colOff>
      <xdr:row>30</xdr:row>
      <xdr:rowOff>447675</xdr:rowOff>
    </xdr:to>
    <xdr:sp macro="" textlink="">
      <xdr:nvSpPr>
        <xdr:cNvPr id="74" name="Rectángulo redondeado 73">
          <a:extLst>
            <a:ext uri="{FF2B5EF4-FFF2-40B4-BE49-F238E27FC236}">
              <a16:creationId xmlns:a16="http://schemas.microsoft.com/office/drawing/2014/main" id="{9E169757-32E2-4437-8620-BEF75FE63D25}"/>
            </a:ext>
            <a:ext uri="{147F2762-F138-4A5C-976F-8EAC2B608ADB}">
              <a16:predDERef xmlns:a16="http://schemas.microsoft.com/office/drawing/2014/main" pred="{F8E10029-254A-4B3A-9B71-82B8A66EB811}"/>
            </a:ext>
          </a:extLst>
        </xdr:cNvPr>
        <xdr:cNvSpPr/>
      </xdr:nvSpPr>
      <xdr:spPr>
        <a:xfrm>
          <a:off x="102974775" y="14344650"/>
          <a:ext cx="1131570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84</xdr:col>
      <xdr:colOff>9525</xdr:colOff>
      <xdr:row>28</xdr:row>
      <xdr:rowOff>190500</xdr:rowOff>
    </xdr:from>
    <xdr:to>
      <xdr:col>84</xdr:col>
      <xdr:colOff>2257425</xdr:colOff>
      <xdr:row>28</xdr:row>
      <xdr:rowOff>457200</xdr:rowOff>
    </xdr:to>
    <xdr:sp macro="" textlink="">
      <xdr:nvSpPr>
        <xdr:cNvPr id="75" name="Rectángulo redondeado 74">
          <a:extLst>
            <a:ext uri="{FF2B5EF4-FFF2-40B4-BE49-F238E27FC236}">
              <a16:creationId xmlns:a16="http://schemas.microsoft.com/office/drawing/2014/main" id="{700B0514-A464-42A9-AAD5-A2C8AC922466}"/>
            </a:ext>
            <a:ext uri="{147F2762-F138-4A5C-976F-8EAC2B608ADB}">
              <a16:predDERef xmlns:a16="http://schemas.microsoft.com/office/drawing/2014/main" pred="{9E169757-32E2-4437-8620-BEF75FE63D25}"/>
            </a:ext>
          </a:extLst>
        </xdr:cNvPr>
        <xdr:cNvSpPr/>
      </xdr:nvSpPr>
      <xdr:spPr>
        <a:xfrm>
          <a:off x="100717350" y="13154025"/>
          <a:ext cx="2247900" cy="2667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85</xdr:col>
      <xdr:colOff>0</xdr:colOff>
      <xdr:row>29</xdr:row>
      <xdr:rowOff>142875</xdr:rowOff>
    </xdr:from>
    <xdr:to>
      <xdr:col>85</xdr:col>
      <xdr:colOff>2247900</xdr:colOff>
      <xdr:row>29</xdr:row>
      <xdr:rowOff>409575</xdr:rowOff>
    </xdr:to>
    <xdr:sp macro="" textlink="">
      <xdr:nvSpPr>
        <xdr:cNvPr id="76" name="Rectángulo redondeado 75">
          <a:extLst>
            <a:ext uri="{FF2B5EF4-FFF2-40B4-BE49-F238E27FC236}">
              <a16:creationId xmlns:a16="http://schemas.microsoft.com/office/drawing/2014/main" id="{F5579B75-AE91-4EC3-AEB3-B829A62A0D4A}"/>
            </a:ext>
            <a:ext uri="{147F2762-F138-4A5C-976F-8EAC2B608ADB}">
              <a16:predDERef xmlns:a16="http://schemas.microsoft.com/office/drawing/2014/main" pred="{700B0514-A464-42A9-AAD5-A2C8AC922466}"/>
            </a:ext>
          </a:extLst>
        </xdr:cNvPr>
        <xdr:cNvSpPr/>
      </xdr:nvSpPr>
      <xdr:spPr>
        <a:xfrm>
          <a:off x="102974775" y="13706475"/>
          <a:ext cx="2247900" cy="2667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editAs="oneCell">
    <xdr:from>
      <xdr:col>84</xdr:col>
      <xdr:colOff>2028825</xdr:colOff>
      <xdr:row>27</xdr:row>
      <xdr:rowOff>438150</xdr:rowOff>
    </xdr:from>
    <xdr:to>
      <xdr:col>85</xdr:col>
      <xdr:colOff>314325</xdr:colOff>
      <xdr:row>28</xdr:row>
      <xdr:rowOff>390525</xdr:rowOff>
    </xdr:to>
    <xdr:pic>
      <xdr:nvPicPr>
        <xdr:cNvPr id="77" name="Imagen 76">
          <a:extLst>
            <a:ext uri="{FF2B5EF4-FFF2-40B4-BE49-F238E27FC236}">
              <a16:creationId xmlns:a16="http://schemas.microsoft.com/office/drawing/2014/main" id="{F7AE00C4-3244-4ECC-9DC3-4175E68D786A}"/>
            </a:ext>
            <a:ext uri="{147F2762-F138-4A5C-976F-8EAC2B608ADB}">
              <a16:predDERef xmlns:a16="http://schemas.microsoft.com/office/drawing/2014/main" pred="{F5579B75-AE91-4EC3-AEB3-B829A62A0D4A}"/>
            </a:ext>
          </a:extLst>
        </xdr:cNvPr>
        <xdr:cNvPicPr>
          <a:picLocks noChangeAspect="1"/>
        </xdr:cNvPicPr>
      </xdr:nvPicPr>
      <xdr:blipFill>
        <a:blip xmlns:r="http://schemas.openxmlformats.org/officeDocument/2006/relationships" r:embed="rId1"/>
        <a:stretch>
          <a:fillRect/>
        </a:stretch>
      </xdr:blipFill>
      <xdr:spPr>
        <a:xfrm>
          <a:off x="102736650" y="12801600"/>
          <a:ext cx="552450" cy="552450"/>
        </a:xfrm>
        <a:prstGeom prst="rect">
          <a:avLst/>
        </a:prstGeom>
      </xdr:spPr>
    </xdr:pic>
    <xdr:clientData/>
  </xdr:twoCellAnchor>
  <xdr:twoCellAnchor editAs="oneCell">
    <xdr:from>
      <xdr:col>85</xdr:col>
      <xdr:colOff>2095500</xdr:colOff>
      <xdr:row>28</xdr:row>
      <xdr:rowOff>409575</xdr:rowOff>
    </xdr:from>
    <xdr:to>
      <xdr:col>86</xdr:col>
      <xdr:colOff>381000</xdr:colOff>
      <xdr:row>29</xdr:row>
      <xdr:rowOff>361950</xdr:rowOff>
    </xdr:to>
    <xdr:pic>
      <xdr:nvPicPr>
        <xdr:cNvPr id="78" name="Imagen 77">
          <a:extLst>
            <a:ext uri="{FF2B5EF4-FFF2-40B4-BE49-F238E27FC236}">
              <a16:creationId xmlns:a16="http://schemas.microsoft.com/office/drawing/2014/main" id="{D99B1D87-88D1-440C-8F54-A9721ABDD037}"/>
            </a:ext>
            <a:ext uri="{147F2762-F138-4A5C-976F-8EAC2B608ADB}">
              <a16:predDERef xmlns:a16="http://schemas.microsoft.com/office/drawing/2014/main" pred="{F7AE00C4-3244-4ECC-9DC3-4175E68D786A}"/>
            </a:ext>
          </a:extLst>
        </xdr:cNvPr>
        <xdr:cNvPicPr>
          <a:picLocks noChangeAspect="1"/>
        </xdr:cNvPicPr>
      </xdr:nvPicPr>
      <xdr:blipFill>
        <a:blip xmlns:r="http://schemas.openxmlformats.org/officeDocument/2006/relationships" r:embed="rId1"/>
        <a:stretch>
          <a:fillRect/>
        </a:stretch>
      </xdr:blipFill>
      <xdr:spPr>
        <a:xfrm>
          <a:off x="105070275" y="13373100"/>
          <a:ext cx="552450" cy="552450"/>
        </a:xfrm>
        <a:prstGeom prst="rect">
          <a:avLst/>
        </a:prstGeom>
      </xdr:spPr>
    </xdr:pic>
    <xdr:clientData/>
  </xdr:twoCellAnchor>
  <xdr:twoCellAnchor>
    <xdr:from>
      <xdr:col>76</xdr:col>
      <xdr:colOff>990600</xdr:colOff>
      <xdr:row>1</xdr:row>
      <xdr:rowOff>161925</xdr:rowOff>
    </xdr:from>
    <xdr:to>
      <xdr:col>76</xdr:col>
      <xdr:colOff>1028700</xdr:colOff>
      <xdr:row>30</xdr:row>
      <xdr:rowOff>561975</xdr:rowOff>
    </xdr:to>
    <xdr:cxnSp macro="">
      <xdr:nvCxnSpPr>
        <xdr:cNvPr id="2" name="Conector recto 1">
          <a:extLst>
            <a:ext uri="{FF2B5EF4-FFF2-40B4-BE49-F238E27FC236}">
              <a16:creationId xmlns:a16="http://schemas.microsoft.com/office/drawing/2014/main" id="{4415C2FF-3C20-D3B7-3215-8E47E97083EC}"/>
            </a:ext>
            <a:ext uri="{147F2762-F138-4A5C-976F-8EAC2B608ADB}">
              <a16:predDERef xmlns:a16="http://schemas.microsoft.com/office/drawing/2014/main" pred="{D99B1D87-88D1-440C-8F54-A9721ABDD037}"/>
            </a:ext>
          </a:extLst>
        </xdr:cNvPr>
        <xdr:cNvCxnSpPr>
          <a:cxnSpLocks/>
          <a:extLst>
            <a:ext uri="{5F17804C-33F3-41E3-A699-7DCFA2EF7971}">
              <a16:cxnDERefs xmlns:a16="http://schemas.microsoft.com/office/drawing/2014/main" st="{B5A47E9D-B361-4824-B1D8-734E99547B3E}" end="{00000000-0000-0000-0000-000000000000}"/>
            </a:ext>
          </a:extLst>
        </xdr:cNvCxnSpPr>
      </xdr:nvCxnSpPr>
      <xdr:spPr>
        <a:xfrm flipH="1">
          <a:off x="155667075" y="352425"/>
          <a:ext cx="38100" cy="1491615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35</xdr:col>
      <xdr:colOff>0</xdr:colOff>
      <xdr:row>15</xdr:row>
      <xdr:rowOff>123825</xdr:rowOff>
    </xdr:from>
    <xdr:to>
      <xdr:col>37</xdr:col>
      <xdr:colOff>0</xdr:colOff>
      <xdr:row>15</xdr:row>
      <xdr:rowOff>390525</xdr:rowOff>
    </xdr:to>
    <xdr:sp macro="" textlink="">
      <xdr:nvSpPr>
        <xdr:cNvPr id="3" name="Rectángulo redondeado 2">
          <a:extLst>
            <a:ext uri="{FF2B5EF4-FFF2-40B4-BE49-F238E27FC236}">
              <a16:creationId xmlns:a16="http://schemas.microsoft.com/office/drawing/2014/main" id="{4DAAD31D-1FC0-4ED2-B045-EFEC9E90D7D4}"/>
            </a:ext>
            <a:ext uri="{147F2762-F138-4A5C-976F-8EAC2B608ADB}">
              <a16:predDERef xmlns:a16="http://schemas.microsoft.com/office/drawing/2014/main" pred="{4415C2FF-3C20-D3B7-3215-8E47E97083EC}"/>
            </a:ext>
          </a:extLst>
        </xdr:cNvPr>
        <xdr:cNvSpPr/>
      </xdr:nvSpPr>
      <xdr:spPr>
        <a:xfrm>
          <a:off x="69542025" y="6248400"/>
          <a:ext cx="41529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13</xdr:col>
      <xdr:colOff>9525</xdr:colOff>
      <xdr:row>6</xdr:row>
      <xdr:rowOff>57150</xdr:rowOff>
    </xdr:from>
    <xdr:to>
      <xdr:col>14</xdr:col>
      <xdr:colOff>2057400</xdr:colOff>
      <xdr:row>6</xdr:row>
      <xdr:rowOff>323850</xdr:rowOff>
    </xdr:to>
    <xdr:sp macro="" textlink="">
      <xdr:nvSpPr>
        <xdr:cNvPr id="6" name="Rectángulo redondeado 48">
          <a:extLst>
            <a:ext uri="{FF2B5EF4-FFF2-40B4-BE49-F238E27FC236}">
              <a16:creationId xmlns:a16="http://schemas.microsoft.com/office/drawing/2014/main" id="{643C5CBD-FC19-4D26-9789-DCC00DDC46BE}"/>
            </a:ext>
            <a:ext uri="{147F2762-F138-4A5C-976F-8EAC2B608ADB}">
              <a16:predDERef xmlns:a16="http://schemas.microsoft.com/office/drawing/2014/main" pred="{4DAAD31D-1FC0-4ED2-B045-EFEC9E90D7D4}"/>
            </a:ext>
          </a:extLst>
        </xdr:cNvPr>
        <xdr:cNvSpPr/>
      </xdr:nvSpPr>
      <xdr:spPr>
        <a:xfrm>
          <a:off x="23869650" y="2028825"/>
          <a:ext cx="41243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25</xdr:col>
      <xdr:colOff>0</xdr:colOff>
      <xdr:row>6</xdr:row>
      <xdr:rowOff>38100</xdr:rowOff>
    </xdr:from>
    <xdr:to>
      <xdr:col>25</xdr:col>
      <xdr:colOff>2066925</xdr:colOff>
      <xdr:row>6</xdr:row>
      <xdr:rowOff>304800</xdr:rowOff>
    </xdr:to>
    <xdr:sp macro="" textlink="">
      <xdr:nvSpPr>
        <xdr:cNvPr id="4" name="Rectángulo redondeado 3">
          <a:extLst>
            <a:ext uri="{FF2B5EF4-FFF2-40B4-BE49-F238E27FC236}">
              <a16:creationId xmlns:a16="http://schemas.microsoft.com/office/drawing/2014/main" id="{9F76A493-AA8C-4138-B809-9560042F918A}"/>
            </a:ext>
            <a:ext uri="{147F2762-F138-4A5C-976F-8EAC2B608ADB}">
              <a16:predDERef xmlns:a16="http://schemas.microsoft.com/office/drawing/2014/main" pred="{643C5CBD-FC19-4D26-9789-DCC00DDC46BE}"/>
            </a:ext>
          </a:extLst>
        </xdr:cNvPr>
        <xdr:cNvSpPr/>
      </xdr:nvSpPr>
      <xdr:spPr>
        <a:xfrm>
          <a:off x="48777525" y="2009775"/>
          <a:ext cx="20669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26</xdr:col>
      <xdr:colOff>9525</xdr:colOff>
      <xdr:row>10</xdr:row>
      <xdr:rowOff>85725</xdr:rowOff>
    </xdr:from>
    <xdr:to>
      <xdr:col>27</xdr:col>
      <xdr:colOff>0</xdr:colOff>
      <xdr:row>10</xdr:row>
      <xdr:rowOff>352425</xdr:rowOff>
    </xdr:to>
    <xdr:sp macro="" textlink="">
      <xdr:nvSpPr>
        <xdr:cNvPr id="7" name="Rectángulo redondeado 6">
          <a:extLst>
            <a:ext uri="{FF2B5EF4-FFF2-40B4-BE49-F238E27FC236}">
              <a16:creationId xmlns:a16="http://schemas.microsoft.com/office/drawing/2014/main" id="{ADD84904-FD51-4260-B2FE-5992E2A17735}"/>
            </a:ext>
            <a:ext uri="{147F2762-F138-4A5C-976F-8EAC2B608ADB}">
              <a16:predDERef xmlns:a16="http://schemas.microsoft.com/office/drawing/2014/main" pred="{9F76A493-AA8C-4138-B809-9560042F918A}"/>
            </a:ext>
          </a:extLst>
        </xdr:cNvPr>
        <xdr:cNvSpPr/>
      </xdr:nvSpPr>
      <xdr:spPr>
        <a:xfrm>
          <a:off x="50863500" y="3638550"/>
          <a:ext cx="20669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39</xdr:col>
      <xdr:colOff>0</xdr:colOff>
      <xdr:row>15</xdr:row>
      <xdr:rowOff>161925</xdr:rowOff>
    </xdr:from>
    <xdr:to>
      <xdr:col>40</xdr:col>
      <xdr:colOff>0</xdr:colOff>
      <xdr:row>15</xdr:row>
      <xdr:rowOff>428625</xdr:rowOff>
    </xdr:to>
    <xdr:sp macro="" textlink="">
      <xdr:nvSpPr>
        <xdr:cNvPr id="5" name="Rectángulo redondeado 4">
          <a:extLst>
            <a:ext uri="{FF2B5EF4-FFF2-40B4-BE49-F238E27FC236}">
              <a16:creationId xmlns:a16="http://schemas.microsoft.com/office/drawing/2014/main" id="{882FE23C-5493-436B-A2CE-BFDAE7D57E4E}"/>
            </a:ext>
            <a:ext uri="{147F2762-F138-4A5C-976F-8EAC2B608ADB}">
              <a16:predDERef xmlns:a16="http://schemas.microsoft.com/office/drawing/2014/main" pred="{ADD84904-FD51-4260-B2FE-5992E2A17735}"/>
            </a:ext>
          </a:extLst>
        </xdr:cNvPr>
        <xdr:cNvSpPr/>
      </xdr:nvSpPr>
      <xdr:spPr>
        <a:xfrm>
          <a:off x="75771375" y="628650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42</xdr:col>
      <xdr:colOff>0</xdr:colOff>
      <xdr:row>16</xdr:row>
      <xdr:rowOff>171450</xdr:rowOff>
    </xdr:from>
    <xdr:to>
      <xdr:col>42</xdr:col>
      <xdr:colOff>2028825</xdr:colOff>
      <xdr:row>16</xdr:row>
      <xdr:rowOff>438150</xdr:rowOff>
    </xdr:to>
    <xdr:sp macro="" textlink="">
      <xdr:nvSpPr>
        <xdr:cNvPr id="8" name="Rectángulo redondeado 7">
          <a:extLst>
            <a:ext uri="{FF2B5EF4-FFF2-40B4-BE49-F238E27FC236}">
              <a16:creationId xmlns:a16="http://schemas.microsoft.com/office/drawing/2014/main" id="{F2F7A0B2-AC70-4F64-9301-033103B8C029}"/>
            </a:ext>
            <a:ext uri="{147F2762-F138-4A5C-976F-8EAC2B608ADB}">
              <a16:predDERef xmlns:a16="http://schemas.microsoft.com/office/drawing/2014/main" pred="{882FE23C-5493-436B-A2CE-BFDAE7D57E4E}"/>
            </a:ext>
          </a:extLst>
        </xdr:cNvPr>
        <xdr:cNvSpPr/>
      </xdr:nvSpPr>
      <xdr:spPr>
        <a:xfrm>
          <a:off x="84077175" y="6838950"/>
          <a:ext cx="202882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49</xdr:col>
      <xdr:colOff>0</xdr:colOff>
      <xdr:row>25</xdr:row>
      <xdr:rowOff>180975</xdr:rowOff>
    </xdr:from>
    <xdr:to>
      <xdr:col>50</xdr:col>
      <xdr:colOff>2057400</xdr:colOff>
      <xdr:row>25</xdr:row>
      <xdr:rowOff>447675</xdr:rowOff>
    </xdr:to>
    <xdr:sp macro="" textlink="">
      <xdr:nvSpPr>
        <xdr:cNvPr id="10" name="Rectángulo redondeado 9" descr="La actividad no se cierra ya que todavía no se tiene completa la documentación hasta que se finalice las pruebas" title="Nota">
          <a:extLst>
            <a:ext uri="{FF2B5EF4-FFF2-40B4-BE49-F238E27FC236}">
              <a16:creationId xmlns:a16="http://schemas.microsoft.com/office/drawing/2014/main" id="{E8787450-956C-4FEC-9EAD-03795A60D61C}"/>
            </a:ext>
            <a:ext uri="{147F2762-F138-4A5C-976F-8EAC2B608ADB}">
              <a16:predDERef xmlns:a16="http://schemas.microsoft.com/office/drawing/2014/main" pred="{1A049DF4-E9DC-4DA5-9E2E-B7413D1CF936}"/>
            </a:ext>
          </a:extLst>
        </xdr:cNvPr>
        <xdr:cNvSpPr/>
      </xdr:nvSpPr>
      <xdr:spPr>
        <a:xfrm>
          <a:off x="98612325" y="11887200"/>
          <a:ext cx="41338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51</xdr:col>
      <xdr:colOff>0</xdr:colOff>
      <xdr:row>26</xdr:row>
      <xdr:rowOff>190500</xdr:rowOff>
    </xdr:from>
    <xdr:to>
      <xdr:col>52</xdr:col>
      <xdr:colOff>2057400</xdr:colOff>
      <xdr:row>26</xdr:row>
      <xdr:rowOff>457200</xdr:rowOff>
    </xdr:to>
    <xdr:sp macro="" textlink="">
      <xdr:nvSpPr>
        <xdr:cNvPr id="11" name="Rectángulo redondeado 10" descr="La actividad no se cierra ya que todavía no se tiene completa la documentación hasta que se finalice las pruebas" title="Nota">
          <a:extLst>
            <a:ext uri="{FF2B5EF4-FFF2-40B4-BE49-F238E27FC236}">
              <a16:creationId xmlns:a16="http://schemas.microsoft.com/office/drawing/2014/main" id="{FD68297A-8E3E-4E08-A727-F6F5B36F98F8}"/>
            </a:ext>
            <a:ext uri="{147F2762-F138-4A5C-976F-8EAC2B608ADB}">
              <a16:predDERef xmlns:a16="http://schemas.microsoft.com/office/drawing/2014/main" pred="{E8787450-956C-4FEC-9EAD-03795A60D61C}"/>
            </a:ext>
          </a:extLst>
        </xdr:cNvPr>
        <xdr:cNvSpPr/>
      </xdr:nvSpPr>
      <xdr:spPr>
        <a:xfrm>
          <a:off x="102765225" y="12496800"/>
          <a:ext cx="41338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53</xdr:col>
      <xdr:colOff>9525</xdr:colOff>
      <xdr:row>17</xdr:row>
      <xdr:rowOff>123825</xdr:rowOff>
    </xdr:from>
    <xdr:to>
      <xdr:col>54</xdr:col>
      <xdr:colOff>9525</xdr:colOff>
      <xdr:row>17</xdr:row>
      <xdr:rowOff>390525</xdr:rowOff>
    </xdr:to>
    <xdr:sp macro="" textlink="">
      <xdr:nvSpPr>
        <xdr:cNvPr id="12" name="Rectángulo redondeado 11">
          <a:extLst>
            <a:ext uri="{FF2B5EF4-FFF2-40B4-BE49-F238E27FC236}">
              <a16:creationId xmlns:a16="http://schemas.microsoft.com/office/drawing/2014/main" id="{C515BF34-DA2F-4F6C-A3E7-F89C4CF2334A}"/>
            </a:ext>
            <a:ext uri="{147F2762-F138-4A5C-976F-8EAC2B608ADB}">
              <a16:predDERef xmlns:a16="http://schemas.microsoft.com/office/drawing/2014/main" pred="{FD68297A-8E3E-4E08-A727-F6F5B36F98F8}"/>
            </a:ext>
          </a:extLst>
        </xdr:cNvPr>
        <xdr:cNvSpPr/>
      </xdr:nvSpPr>
      <xdr:spPr>
        <a:xfrm>
          <a:off x="106927650" y="7334250"/>
          <a:ext cx="2076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54</xdr:col>
      <xdr:colOff>0</xdr:colOff>
      <xdr:row>26</xdr:row>
      <xdr:rowOff>228600</xdr:rowOff>
    </xdr:from>
    <xdr:to>
      <xdr:col>55</xdr:col>
      <xdr:colOff>0</xdr:colOff>
      <xdr:row>26</xdr:row>
      <xdr:rowOff>495300</xdr:rowOff>
    </xdr:to>
    <xdr:sp macro="" textlink="">
      <xdr:nvSpPr>
        <xdr:cNvPr id="13" name="Rectángulo redondeado 12">
          <a:extLst>
            <a:ext uri="{FF2B5EF4-FFF2-40B4-BE49-F238E27FC236}">
              <a16:creationId xmlns:a16="http://schemas.microsoft.com/office/drawing/2014/main" id="{5C61BC32-7983-453C-AEC2-E4195927AC40}"/>
            </a:ext>
            <a:ext uri="{147F2762-F138-4A5C-976F-8EAC2B608ADB}">
              <a16:predDERef xmlns:a16="http://schemas.microsoft.com/office/drawing/2014/main" pred="{C515BF34-DA2F-4F6C-A3E7-F89C4CF2334A}"/>
            </a:ext>
          </a:extLst>
        </xdr:cNvPr>
        <xdr:cNvSpPr/>
      </xdr:nvSpPr>
      <xdr:spPr>
        <a:xfrm>
          <a:off x="108994575" y="12534900"/>
          <a:ext cx="20764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55</xdr:col>
      <xdr:colOff>0</xdr:colOff>
      <xdr:row>19</xdr:row>
      <xdr:rowOff>123825</xdr:rowOff>
    </xdr:from>
    <xdr:to>
      <xdr:col>56</xdr:col>
      <xdr:colOff>2038350</xdr:colOff>
      <xdr:row>19</xdr:row>
      <xdr:rowOff>390525</xdr:rowOff>
    </xdr:to>
    <xdr:sp macro="" textlink="">
      <xdr:nvSpPr>
        <xdr:cNvPr id="14" name="Rectángulo redondeado 13">
          <a:extLst>
            <a:ext uri="{FF2B5EF4-FFF2-40B4-BE49-F238E27FC236}">
              <a16:creationId xmlns:a16="http://schemas.microsoft.com/office/drawing/2014/main" id="{0FE581CB-84D9-49DE-87AE-A0465608CC72}"/>
            </a:ext>
            <a:ext uri="{147F2762-F138-4A5C-976F-8EAC2B608ADB}">
              <a16:predDERef xmlns:a16="http://schemas.microsoft.com/office/drawing/2014/main" pred="{5C61BC32-7983-453C-AEC2-E4195927AC40}"/>
            </a:ext>
          </a:extLst>
        </xdr:cNvPr>
        <xdr:cNvSpPr/>
      </xdr:nvSpPr>
      <xdr:spPr>
        <a:xfrm>
          <a:off x="111071025" y="8391525"/>
          <a:ext cx="41148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71</xdr:col>
      <xdr:colOff>0</xdr:colOff>
      <xdr:row>15</xdr:row>
      <xdr:rowOff>85725</xdr:rowOff>
    </xdr:from>
    <xdr:to>
      <xdr:col>75</xdr:col>
      <xdr:colOff>2057400</xdr:colOff>
      <xdr:row>15</xdr:row>
      <xdr:rowOff>352425</xdr:rowOff>
    </xdr:to>
    <xdr:sp macro="" textlink="">
      <xdr:nvSpPr>
        <xdr:cNvPr id="9" name="Rectángulo redondeado 8">
          <a:extLst>
            <a:ext uri="{FF2B5EF4-FFF2-40B4-BE49-F238E27FC236}">
              <a16:creationId xmlns:a16="http://schemas.microsoft.com/office/drawing/2014/main" id="{E635BDA5-C968-42C7-9A66-5F071E9030D4}"/>
            </a:ext>
            <a:ext uri="{147F2762-F138-4A5C-976F-8EAC2B608ADB}">
              <a16:predDERef xmlns:a16="http://schemas.microsoft.com/office/drawing/2014/main" pred="{0FE581CB-84D9-49DE-87AE-A0465608CC72}"/>
            </a:ext>
          </a:extLst>
        </xdr:cNvPr>
        <xdr:cNvSpPr/>
      </xdr:nvSpPr>
      <xdr:spPr>
        <a:xfrm>
          <a:off x="144294225" y="6210300"/>
          <a:ext cx="103632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76</xdr:col>
      <xdr:colOff>0</xdr:colOff>
      <xdr:row>22</xdr:row>
      <xdr:rowOff>171450</xdr:rowOff>
    </xdr:from>
    <xdr:to>
      <xdr:col>76</xdr:col>
      <xdr:colOff>2066925</xdr:colOff>
      <xdr:row>22</xdr:row>
      <xdr:rowOff>438150</xdr:rowOff>
    </xdr:to>
    <xdr:sp macro="" textlink="">
      <xdr:nvSpPr>
        <xdr:cNvPr id="15" name="Rectángulo redondeado 14">
          <a:extLst>
            <a:ext uri="{FF2B5EF4-FFF2-40B4-BE49-F238E27FC236}">
              <a16:creationId xmlns:a16="http://schemas.microsoft.com/office/drawing/2014/main" id="{4FC7A8B8-827D-41E1-A582-19B6BB39D97E}"/>
            </a:ext>
            <a:ext uri="{147F2762-F138-4A5C-976F-8EAC2B608ADB}">
              <a16:predDERef xmlns:a16="http://schemas.microsoft.com/office/drawing/2014/main" pred="{E635BDA5-C968-42C7-9A66-5F071E9030D4}"/>
            </a:ext>
          </a:extLst>
        </xdr:cNvPr>
        <xdr:cNvSpPr/>
      </xdr:nvSpPr>
      <xdr:spPr>
        <a:xfrm>
          <a:off x="152600025" y="10115550"/>
          <a:ext cx="2066925"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2</xdr:row>
      <xdr:rowOff>95250</xdr:rowOff>
    </xdr:from>
    <xdr:to>
      <xdr:col>6</xdr:col>
      <xdr:colOff>1790700</xdr:colOff>
      <xdr:row>2</xdr:row>
      <xdr:rowOff>361950</xdr:rowOff>
    </xdr:to>
    <xdr:sp macro="" textlink="">
      <xdr:nvSpPr>
        <xdr:cNvPr id="2" name="Rectángulo redondeado 1">
          <a:extLst>
            <a:ext uri="{FF2B5EF4-FFF2-40B4-BE49-F238E27FC236}">
              <a16:creationId xmlns:a16="http://schemas.microsoft.com/office/drawing/2014/main" id="{238E3536-39AA-4256-B267-DDA22C9F987E}"/>
            </a:ext>
            <a:ext uri="{147F2762-F138-4A5C-976F-8EAC2B608ADB}">
              <a16:predDERef xmlns:a16="http://schemas.microsoft.com/office/drawing/2014/main" pred="{D77152DC-0E95-4C83-9D66-BE6785E88CBB}"/>
            </a:ext>
          </a:extLst>
        </xdr:cNvPr>
        <xdr:cNvSpPr/>
      </xdr:nvSpPr>
      <xdr:spPr>
        <a:xfrm>
          <a:off x="6696075" y="4762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7</xdr:col>
      <xdr:colOff>0</xdr:colOff>
      <xdr:row>3</xdr:row>
      <xdr:rowOff>114300</xdr:rowOff>
    </xdr:from>
    <xdr:to>
      <xdr:col>7</xdr:col>
      <xdr:colOff>1790700</xdr:colOff>
      <xdr:row>3</xdr:row>
      <xdr:rowOff>381000</xdr:rowOff>
    </xdr:to>
    <xdr:sp macro="" textlink="">
      <xdr:nvSpPr>
        <xdr:cNvPr id="3" name="Rectángulo redondeado 2">
          <a:extLst>
            <a:ext uri="{FF2B5EF4-FFF2-40B4-BE49-F238E27FC236}">
              <a16:creationId xmlns:a16="http://schemas.microsoft.com/office/drawing/2014/main" id="{D99C9CB5-B9B4-4450-A008-E3B308B17CFF}"/>
            </a:ext>
            <a:ext uri="{147F2762-F138-4A5C-976F-8EAC2B608ADB}">
              <a16:predDERef xmlns:a16="http://schemas.microsoft.com/office/drawing/2014/main" pred="{238E3536-39AA-4256-B267-DDA22C9F987E}"/>
            </a:ext>
          </a:extLst>
        </xdr:cNvPr>
        <xdr:cNvSpPr/>
      </xdr:nvSpPr>
      <xdr:spPr>
        <a:xfrm>
          <a:off x="8496300" y="99060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8</xdr:col>
      <xdr:colOff>0</xdr:colOff>
      <xdr:row>4</xdr:row>
      <xdr:rowOff>104775</xdr:rowOff>
    </xdr:from>
    <xdr:to>
      <xdr:col>8</xdr:col>
      <xdr:colOff>1790700</xdr:colOff>
      <xdr:row>4</xdr:row>
      <xdr:rowOff>371475</xdr:rowOff>
    </xdr:to>
    <xdr:sp macro="" textlink="">
      <xdr:nvSpPr>
        <xdr:cNvPr id="4" name="Rectángulo redondeado 3">
          <a:extLst>
            <a:ext uri="{FF2B5EF4-FFF2-40B4-BE49-F238E27FC236}">
              <a16:creationId xmlns:a16="http://schemas.microsoft.com/office/drawing/2014/main" id="{4FF926B3-784D-4BBA-B3D7-1AE1CE60CD00}"/>
            </a:ext>
            <a:ext uri="{147F2762-F138-4A5C-976F-8EAC2B608ADB}">
              <a16:predDERef xmlns:a16="http://schemas.microsoft.com/office/drawing/2014/main" pred="{D99C9CB5-B9B4-4450-A008-E3B308B17CFF}"/>
            </a:ext>
          </a:extLst>
        </xdr:cNvPr>
        <xdr:cNvSpPr/>
      </xdr:nvSpPr>
      <xdr:spPr>
        <a:xfrm>
          <a:off x="10296525" y="147637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8</xdr:col>
      <xdr:colOff>0</xdr:colOff>
      <xdr:row>5</xdr:row>
      <xdr:rowOff>76200</xdr:rowOff>
    </xdr:from>
    <xdr:to>
      <xdr:col>8</xdr:col>
      <xdr:colOff>1790700</xdr:colOff>
      <xdr:row>5</xdr:row>
      <xdr:rowOff>342900</xdr:rowOff>
    </xdr:to>
    <xdr:sp macro="" textlink="">
      <xdr:nvSpPr>
        <xdr:cNvPr id="6" name="Rectángulo redondeado 5">
          <a:extLst>
            <a:ext uri="{FF2B5EF4-FFF2-40B4-BE49-F238E27FC236}">
              <a16:creationId xmlns:a16="http://schemas.microsoft.com/office/drawing/2014/main" id="{8DD4FA12-9837-421E-9C1C-2E429BE93404}"/>
            </a:ext>
            <a:ext uri="{147F2762-F138-4A5C-976F-8EAC2B608ADB}">
              <a16:predDERef xmlns:a16="http://schemas.microsoft.com/office/drawing/2014/main" pred="{4FF926B3-784D-4BBA-B3D7-1AE1CE60CD00}"/>
            </a:ext>
          </a:extLst>
        </xdr:cNvPr>
        <xdr:cNvSpPr/>
      </xdr:nvSpPr>
      <xdr:spPr>
        <a:xfrm>
          <a:off x="10639425" y="194310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9</xdr:col>
      <xdr:colOff>0</xdr:colOff>
      <xdr:row>6</xdr:row>
      <xdr:rowOff>95250</xdr:rowOff>
    </xdr:from>
    <xdr:to>
      <xdr:col>9</xdr:col>
      <xdr:colOff>1790700</xdr:colOff>
      <xdr:row>6</xdr:row>
      <xdr:rowOff>361950</xdr:rowOff>
    </xdr:to>
    <xdr:sp macro="" textlink="">
      <xdr:nvSpPr>
        <xdr:cNvPr id="7" name="Rectángulo redondeado 6">
          <a:extLst>
            <a:ext uri="{FF2B5EF4-FFF2-40B4-BE49-F238E27FC236}">
              <a16:creationId xmlns:a16="http://schemas.microsoft.com/office/drawing/2014/main" id="{CDEE5936-3459-4B90-A6A4-38ED93CE1BBF}"/>
            </a:ext>
            <a:ext uri="{147F2762-F138-4A5C-976F-8EAC2B608ADB}">
              <a16:predDERef xmlns:a16="http://schemas.microsoft.com/office/drawing/2014/main" pred="{8DD4FA12-9837-421E-9C1C-2E429BE93404}"/>
            </a:ext>
          </a:extLst>
        </xdr:cNvPr>
        <xdr:cNvSpPr/>
      </xdr:nvSpPr>
      <xdr:spPr>
        <a:xfrm>
          <a:off x="12439650" y="24574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9</xdr:col>
      <xdr:colOff>0</xdr:colOff>
      <xdr:row>7</xdr:row>
      <xdr:rowOff>95250</xdr:rowOff>
    </xdr:from>
    <xdr:to>
      <xdr:col>9</xdr:col>
      <xdr:colOff>1790700</xdr:colOff>
      <xdr:row>7</xdr:row>
      <xdr:rowOff>361950</xdr:rowOff>
    </xdr:to>
    <xdr:sp macro="" textlink="">
      <xdr:nvSpPr>
        <xdr:cNvPr id="8" name="Rectángulo redondeado 7">
          <a:extLst>
            <a:ext uri="{FF2B5EF4-FFF2-40B4-BE49-F238E27FC236}">
              <a16:creationId xmlns:a16="http://schemas.microsoft.com/office/drawing/2014/main" id="{D20A1DFE-7FF5-4863-8FBF-F026EB81E03D}"/>
            </a:ext>
            <a:ext uri="{147F2762-F138-4A5C-976F-8EAC2B608ADB}">
              <a16:predDERef xmlns:a16="http://schemas.microsoft.com/office/drawing/2014/main" pred="{CDEE5936-3459-4B90-A6A4-38ED93CE1BBF}"/>
            </a:ext>
          </a:extLst>
        </xdr:cNvPr>
        <xdr:cNvSpPr/>
      </xdr:nvSpPr>
      <xdr:spPr>
        <a:xfrm>
          <a:off x="12439650" y="29527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10</xdr:col>
      <xdr:colOff>0</xdr:colOff>
      <xdr:row>8</xdr:row>
      <xdr:rowOff>76200</xdr:rowOff>
    </xdr:from>
    <xdr:to>
      <xdr:col>10</xdr:col>
      <xdr:colOff>1790700</xdr:colOff>
      <xdr:row>8</xdr:row>
      <xdr:rowOff>342900</xdr:rowOff>
    </xdr:to>
    <xdr:sp macro="" textlink="">
      <xdr:nvSpPr>
        <xdr:cNvPr id="9" name="Rectángulo redondeado 8">
          <a:extLst>
            <a:ext uri="{FF2B5EF4-FFF2-40B4-BE49-F238E27FC236}">
              <a16:creationId xmlns:a16="http://schemas.microsoft.com/office/drawing/2014/main" id="{E6DD4842-01B7-4C5A-A2D9-59624C7C26FC}"/>
            </a:ext>
            <a:ext uri="{147F2762-F138-4A5C-976F-8EAC2B608ADB}">
              <a16:predDERef xmlns:a16="http://schemas.microsoft.com/office/drawing/2014/main" pred="{D20A1DFE-7FF5-4863-8FBF-F026EB81E03D}"/>
            </a:ext>
          </a:extLst>
        </xdr:cNvPr>
        <xdr:cNvSpPr/>
      </xdr:nvSpPr>
      <xdr:spPr>
        <a:xfrm>
          <a:off x="16040100" y="342900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11</xdr:col>
      <xdr:colOff>0</xdr:colOff>
      <xdr:row>9</xdr:row>
      <xdr:rowOff>95250</xdr:rowOff>
    </xdr:from>
    <xdr:to>
      <xdr:col>11</xdr:col>
      <xdr:colOff>1790700</xdr:colOff>
      <xdr:row>9</xdr:row>
      <xdr:rowOff>361950</xdr:rowOff>
    </xdr:to>
    <xdr:sp macro="" textlink="">
      <xdr:nvSpPr>
        <xdr:cNvPr id="10" name="Rectángulo redondeado 9">
          <a:extLst>
            <a:ext uri="{FF2B5EF4-FFF2-40B4-BE49-F238E27FC236}">
              <a16:creationId xmlns:a16="http://schemas.microsoft.com/office/drawing/2014/main" id="{3BE90979-6333-423A-887F-559AE5B23279}"/>
            </a:ext>
            <a:ext uri="{147F2762-F138-4A5C-976F-8EAC2B608ADB}">
              <a16:predDERef xmlns:a16="http://schemas.microsoft.com/office/drawing/2014/main" pred="{E6DD4842-01B7-4C5A-A2D9-59624C7C26FC}"/>
            </a:ext>
          </a:extLst>
        </xdr:cNvPr>
        <xdr:cNvSpPr/>
      </xdr:nvSpPr>
      <xdr:spPr>
        <a:xfrm>
          <a:off x="17840325" y="39433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12</xdr:col>
      <xdr:colOff>0</xdr:colOff>
      <xdr:row>10</xdr:row>
      <xdr:rowOff>95250</xdr:rowOff>
    </xdr:from>
    <xdr:to>
      <xdr:col>12</xdr:col>
      <xdr:colOff>1790700</xdr:colOff>
      <xdr:row>10</xdr:row>
      <xdr:rowOff>361950</xdr:rowOff>
    </xdr:to>
    <xdr:sp macro="" textlink="">
      <xdr:nvSpPr>
        <xdr:cNvPr id="11" name="Rectángulo redondeado 10">
          <a:extLst>
            <a:ext uri="{FF2B5EF4-FFF2-40B4-BE49-F238E27FC236}">
              <a16:creationId xmlns:a16="http://schemas.microsoft.com/office/drawing/2014/main" id="{3CB6A7BB-115A-4DEF-8287-D9B64960BFC4}"/>
            </a:ext>
            <a:ext uri="{147F2762-F138-4A5C-976F-8EAC2B608ADB}">
              <a16:predDERef xmlns:a16="http://schemas.microsoft.com/office/drawing/2014/main" pred="{3BE90979-6333-423A-887F-559AE5B23279}"/>
            </a:ext>
          </a:extLst>
        </xdr:cNvPr>
        <xdr:cNvSpPr/>
      </xdr:nvSpPr>
      <xdr:spPr>
        <a:xfrm>
          <a:off x="19640550" y="44386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13</xdr:col>
      <xdr:colOff>0</xdr:colOff>
      <xdr:row>11</xdr:row>
      <xdr:rowOff>123825</xdr:rowOff>
    </xdr:from>
    <xdr:to>
      <xdr:col>13</xdr:col>
      <xdr:colOff>1790700</xdr:colOff>
      <xdr:row>11</xdr:row>
      <xdr:rowOff>390525</xdr:rowOff>
    </xdr:to>
    <xdr:sp macro="" textlink="">
      <xdr:nvSpPr>
        <xdr:cNvPr id="12" name="Rectángulo redondeado 11">
          <a:extLst>
            <a:ext uri="{FF2B5EF4-FFF2-40B4-BE49-F238E27FC236}">
              <a16:creationId xmlns:a16="http://schemas.microsoft.com/office/drawing/2014/main" id="{379725C0-63ED-4CB8-B90F-76A079765AF1}"/>
            </a:ext>
            <a:ext uri="{147F2762-F138-4A5C-976F-8EAC2B608ADB}">
              <a16:predDERef xmlns:a16="http://schemas.microsoft.com/office/drawing/2014/main" pred="{3CB6A7BB-115A-4DEF-8287-D9B64960BFC4}"/>
            </a:ext>
          </a:extLst>
        </xdr:cNvPr>
        <xdr:cNvSpPr/>
      </xdr:nvSpPr>
      <xdr:spPr>
        <a:xfrm>
          <a:off x="21440775" y="496252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14</xdr:col>
      <xdr:colOff>0</xdr:colOff>
      <xdr:row>12</xdr:row>
      <xdr:rowOff>114300</xdr:rowOff>
    </xdr:from>
    <xdr:to>
      <xdr:col>14</xdr:col>
      <xdr:colOff>1790700</xdr:colOff>
      <xdr:row>12</xdr:row>
      <xdr:rowOff>381000</xdr:rowOff>
    </xdr:to>
    <xdr:sp macro="" textlink="">
      <xdr:nvSpPr>
        <xdr:cNvPr id="13" name="Rectángulo redondeado 12">
          <a:extLst>
            <a:ext uri="{FF2B5EF4-FFF2-40B4-BE49-F238E27FC236}">
              <a16:creationId xmlns:a16="http://schemas.microsoft.com/office/drawing/2014/main" id="{431666DA-43D9-4E04-AEE0-0FD8CBD97CF5}"/>
            </a:ext>
            <a:ext uri="{147F2762-F138-4A5C-976F-8EAC2B608ADB}">
              <a16:predDERef xmlns:a16="http://schemas.microsoft.com/office/drawing/2014/main" pred="{379725C0-63ED-4CB8-B90F-76A079765AF1}"/>
            </a:ext>
          </a:extLst>
        </xdr:cNvPr>
        <xdr:cNvSpPr/>
      </xdr:nvSpPr>
      <xdr:spPr>
        <a:xfrm>
          <a:off x="23241000" y="544830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15</xdr:col>
      <xdr:colOff>0</xdr:colOff>
      <xdr:row>13</xdr:row>
      <xdr:rowOff>104775</xdr:rowOff>
    </xdr:from>
    <xdr:to>
      <xdr:col>16</xdr:col>
      <xdr:colOff>1781175</xdr:colOff>
      <xdr:row>13</xdr:row>
      <xdr:rowOff>371475</xdr:rowOff>
    </xdr:to>
    <xdr:sp macro="" textlink="">
      <xdr:nvSpPr>
        <xdr:cNvPr id="14" name="Rectángulo redondeado 13">
          <a:extLst>
            <a:ext uri="{FF2B5EF4-FFF2-40B4-BE49-F238E27FC236}">
              <a16:creationId xmlns:a16="http://schemas.microsoft.com/office/drawing/2014/main" id="{A3DAA21D-5B33-4E57-869E-195FF6713DD7}"/>
            </a:ext>
            <a:ext uri="{147F2762-F138-4A5C-976F-8EAC2B608ADB}">
              <a16:predDERef xmlns:a16="http://schemas.microsoft.com/office/drawing/2014/main" pred="{431666DA-43D9-4E04-AEE0-0FD8CBD97CF5}"/>
            </a:ext>
          </a:extLst>
        </xdr:cNvPr>
        <xdr:cNvSpPr/>
      </xdr:nvSpPr>
      <xdr:spPr>
        <a:xfrm>
          <a:off x="25041225" y="5934075"/>
          <a:ext cx="35814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17</xdr:col>
      <xdr:colOff>0</xdr:colOff>
      <xdr:row>14</xdr:row>
      <xdr:rowOff>95250</xdr:rowOff>
    </xdr:from>
    <xdr:to>
      <xdr:col>17</xdr:col>
      <xdr:colOff>1790700</xdr:colOff>
      <xdr:row>14</xdr:row>
      <xdr:rowOff>361950</xdr:rowOff>
    </xdr:to>
    <xdr:sp macro="" textlink="">
      <xdr:nvSpPr>
        <xdr:cNvPr id="15" name="Rectángulo redondeado 14">
          <a:extLst>
            <a:ext uri="{FF2B5EF4-FFF2-40B4-BE49-F238E27FC236}">
              <a16:creationId xmlns:a16="http://schemas.microsoft.com/office/drawing/2014/main" id="{7132EA73-3FEC-42E6-AE31-B2377E7091DE}"/>
            </a:ext>
            <a:ext uri="{147F2762-F138-4A5C-976F-8EAC2B608ADB}">
              <a16:predDERef xmlns:a16="http://schemas.microsoft.com/office/drawing/2014/main" pred="{A3DAA21D-5B33-4E57-869E-195FF6713DD7}"/>
            </a:ext>
          </a:extLst>
        </xdr:cNvPr>
        <xdr:cNvSpPr/>
      </xdr:nvSpPr>
      <xdr:spPr>
        <a:xfrm>
          <a:off x="28641675" y="64198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18</xdr:col>
      <xdr:colOff>0</xdr:colOff>
      <xdr:row>15</xdr:row>
      <xdr:rowOff>85725</xdr:rowOff>
    </xdr:from>
    <xdr:to>
      <xdr:col>18</xdr:col>
      <xdr:colOff>1790700</xdr:colOff>
      <xdr:row>15</xdr:row>
      <xdr:rowOff>352425</xdr:rowOff>
    </xdr:to>
    <xdr:sp macro="" textlink="">
      <xdr:nvSpPr>
        <xdr:cNvPr id="16" name="Rectángulo redondeado 15">
          <a:extLst>
            <a:ext uri="{FF2B5EF4-FFF2-40B4-BE49-F238E27FC236}">
              <a16:creationId xmlns:a16="http://schemas.microsoft.com/office/drawing/2014/main" id="{D726B561-8CE3-437C-905E-FCC2EB503158}"/>
            </a:ext>
            <a:ext uri="{147F2762-F138-4A5C-976F-8EAC2B608ADB}">
              <a16:predDERef xmlns:a16="http://schemas.microsoft.com/office/drawing/2014/main" pred="{7132EA73-3FEC-42E6-AE31-B2377E7091DE}"/>
            </a:ext>
          </a:extLst>
        </xdr:cNvPr>
        <xdr:cNvSpPr/>
      </xdr:nvSpPr>
      <xdr:spPr>
        <a:xfrm>
          <a:off x="30441900" y="690562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22</xdr:col>
      <xdr:colOff>19050</xdr:colOff>
      <xdr:row>16</xdr:row>
      <xdr:rowOff>76200</xdr:rowOff>
    </xdr:from>
    <xdr:to>
      <xdr:col>24</xdr:col>
      <xdr:colOff>0</xdr:colOff>
      <xdr:row>16</xdr:row>
      <xdr:rowOff>342900</xdr:rowOff>
    </xdr:to>
    <xdr:sp macro="" textlink="">
      <xdr:nvSpPr>
        <xdr:cNvPr id="17" name="Rectángulo redondeado 16">
          <a:extLst>
            <a:ext uri="{FF2B5EF4-FFF2-40B4-BE49-F238E27FC236}">
              <a16:creationId xmlns:a16="http://schemas.microsoft.com/office/drawing/2014/main" id="{3E10BA0D-EBA1-471C-B260-E567065DBDAB}"/>
            </a:ext>
            <a:ext uri="{147F2762-F138-4A5C-976F-8EAC2B608ADB}">
              <a16:predDERef xmlns:a16="http://schemas.microsoft.com/office/drawing/2014/main" pred="{D726B561-8CE3-437C-905E-FCC2EB503158}"/>
            </a:ext>
          </a:extLst>
        </xdr:cNvPr>
        <xdr:cNvSpPr/>
      </xdr:nvSpPr>
      <xdr:spPr>
        <a:xfrm>
          <a:off x="34061400" y="7391400"/>
          <a:ext cx="35814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24</xdr:col>
      <xdr:colOff>0</xdr:colOff>
      <xdr:row>17</xdr:row>
      <xdr:rowOff>95250</xdr:rowOff>
    </xdr:from>
    <xdr:to>
      <xdr:col>25</xdr:col>
      <xdr:colOff>1781175</xdr:colOff>
      <xdr:row>17</xdr:row>
      <xdr:rowOff>361950</xdr:rowOff>
    </xdr:to>
    <xdr:sp macro="" textlink="">
      <xdr:nvSpPr>
        <xdr:cNvPr id="18" name="Rectángulo redondeado 17">
          <a:extLst>
            <a:ext uri="{FF2B5EF4-FFF2-40B4-BE49-F238E27FC236}">
              <a16:creationId xmlns:a16="http://schemas.microsoft.com/office/drawing/2014/main" id="{92009DEB-830A-46C3-847B-9D997BC4B2CC}"/>
            </a:ext>
            <a:ext uri="{147F2762-F138-4A5C-976F-8EAC2B608ADB}">
              <a16:predDERef xmlns:a16="http://schemas.microsoft.com/office/drawing/2014/main" pred="{3E10BA0D-EBA1-471C-B260-E567065DBDAB}"/>
            </a:ext>
          </a:extLst>
        </xdr:cNvPr>
        <xdr:cNvSpPr/>
      </xdr:nvSpPr>
      <xdr:spPr>
        <a:xfrm>
          <a:off x="35842575" y="7905750"/>
          <a:ext cx="35814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27</xdr:col>
      <xdr:colOff>0</xdr:colOff>
      <xdr:row>18</xdr:row>
      <xdr:rowOff>114300</xdr:rowOff>
    </xdr:from>
    <xdr:to>
      <xdr:col>30</xdr:col>
      <xdr:colOff>1790700</xdr:colOff>
      <xdr:row>18</xdr:row>
      <xdr:rowOff>381000</xdr:rowOff>
    </xdr:to>
    <xdr:sp macro="" textlink="">
      <xdr:nvSpPr>
        <xdr:cNvPr id="19" name="Rectángulo redondeado 18">
          <a:extLst>
            <a:ext uri="{FF2B5EF4-FFF2-40B4-BE49-F238E27FC236}">
              <a16:creationId xmlns:a16="http://schemas.microsoft.com/office/drawing/2014/main" id="{94DECDF8-1ECD-41AB-8170-50D7CBB46412}"/>
            </a:ext>
            <a:ext uri="{147F2762-F138-4A5C-976F-8EAC2B608ADB}">
              <a16:predDERef xmlns:a16="http://schemas.microsoft.com/office/drawing/2014/main" pred="{92009DEB-830A-46C3-847B-9D997BC4B2CC}"/>
            </a:ext>
          </a:extLst>
        </xdr:cNvPr>
        <xdr:cNvSpPr/>
      </xdr:nvSpPr>
      <xdr:spPr>
        <a:xfrm>
          <a:off x="39443025" y="8420100"/>
          <a:ext cx="719137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31</xdr:col>
      <xdr:colOff>0</xdr:colOff>
      <xdr:row>19</xdr:row>
      <xdr:rowOff>104775</xdr:rowOff>
    </xdr:from>
    <xdr:to>
      <xdr:col>34</xdr:col>
      <xdr:colOff>9525</xdr:colOff>
      <xdr:row>19</xdr:row>
      <xdr:rowOff>371475</xdr:rowOff>
    </xdr:to>
    <xdr:sp macro="" textlink="">
      <xdr:nvSpPr>
        <xdr:cNvPr id="20" name="Rectángulo redondeado 19">
          <a:extLst>
            <a:ext uri="{FF2B5EF4-FFF2-40B4-BE49-F238E27FC236}">
              <a16:creationId xmlns:a16="http://schemas.microsoft.com/office/drawing/2014/main" id="{C2047D96-5B1B-49DA-A27A-AE63AEC442A1}"/>
            </a:ext>
            <a:ext uri="{147F2762-F138-4A5C-976F-8EAC2B608ADB}">
              <a16:predDERef xmlns:a16="http://schemas.microsoft.com/office/drawing/2014/main" pred="{94DECDF8-1ECD-41AB-8170-50D7CBB46412}"/>
            </a:ext>
          </a:extLst>
        </xdr:cNvPr>
        <xdr:cNvSpPr/>
      </xdr:nvSpPr>
      <xdr:spPr>
        <a:xfrm>
          <a:off x="46643925" y="8905875"/>
          <a:ext cx="54102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34</xdr:col>
      <xdr:colOff>0</xdr:colOff>
      <xdr:row>20</xdr:row>
      <xdr:rowOff>133350</xdr:rowOff>
    </xdr:from>
    <xdr:to>
      <xdr:col>36</xdr:col>
      <xdr:colOff>0</xdr:colOff>
      <xdr:row>20</xdr:row>
      <xdr:rowOff>400050</xdr:rowOff>
    </xdr:to>
    <xdr:sp macro="" textlink="">
      <xdr:nvSpPr>
        <xdr:cNvPr id="21" name="Rectángulo redondeado 20">
          <a:extLst>
            <a:ext uri="{FF2B5EF4-FFF2-40B4-BE49-F238E27FC236}">
              <a16:creationId xmlns:a16="http://schemas.microsoft.com/office/drawing/2014/main" id="{48CAB815-1338-41EC-9616-4BC9FA8BB170}"/>
            </a:ext>
            <a:ext uri="{147F2762-F138-4A5C-976F-8EAC2B608ADB}">
              <a16:predDERef xmlns:a16="http://schemas.microsoft.com/office/drawing/2014/main" pred="{C2047D96-5B1B-49DA-A27A-AE63AEC442A1}"/>
            </a:ext>
          </a:extLst>
        </xdr:cNvPr>
        <xdr:cNvSpPr/>
      </xdr:nvSpPr>
      <xdr:spPr>
        <a:xfrm>
          <a:off x="52044600" y="9429750"/>
          <a:ext cx="3600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36</xdr:col>
      <xdr:colOff>0</xdr:colOff>
      <xdr:row>21</xdr:row>
      <xdr:rowOff>104775</xdr:rowOff>
    </xdr:from>
    <xdr:to>
      <xdr:col>38</xdr:col>
      <xdr:colOff>9525</xdr:colOff>
      <xdr:row>21</xdr:row>
      <xdr:rowOff>371475</xdr:rowOff>
    </xdr:to>
    <xdr:sp macro="" textlink="">
      <xdr:nvSpPr>
        <xdr:cNvPr id="22" name="Rectángulo redondeado 21">
          <a:extLst>
            <a:ext uri="{FF2B5EF4-FFF2-40B4-BE49-F238E27FC236}">
              <a16:creationId xmlns:a16="http://schemas.microsoft.com/office/drawing/2014/main" id="{DBDABB38-F7D5-4267-8B59-B5A194C77E51}"/>
            </a:ext>
            <a:ext uri="{147F2762-F138-4A5C-976F-8EAC2B608ADB}">
              <a16:predDERef xmlns:a16="http://schemas.microsoft.com/office/drawing/2014/main" pred="{48CAB815-1338-41EC-9616-4BC9FA8BB170}"/>
            </a:ext>
          </a:extLst>
        </xdr:cNvPr>
        <xdr:cNvSpPr/>
      </xdr:nvSpPr>
      <xdr:spPr>
        <a:xfrm>
          <a:off x="59235975" y="9896475"/>
          <a:ext cx="36195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38</xdr:col>
      <xdr:colOff>0</xdr:colOff>
      <xdr:row>22</xdr:row>
      <xdr:rowOff>123825</xdr:rowOff>
    </xdr:from>
    <xdr:to>
      <xdr:col>40</xdr:col>
      <xdr:colOff>1790700</xdr:colOff>
      <xdr:row>22</xdr:row>
      <xdr:rowOff>390525</xdr:rowOff>
    </xdr:to>
    <xdr:sp macro="" textlink="">
      <xdr:nvSpPr>
        <xdr:cNvPr id="23" name="Rectángulo redondeado 22">
          <a:extLst>
            <a:ext uri="{FF2B5EF4-FFF2-40B4-BE49-F238E27FC236}">
              <a16:creationId xmlns:a16="http://schemas.microsoft.com/office/drawing/2014/main" id="{2701B509-828E-4152-8600-BDF573A74F3E}"/>
            </a:ext>
            <a:ext uri="{147F2762-F138-4A5C-976F-8EAC2B608ADB}">
              <a16:predDERef xmlns:a16="http://schemas.microsoft.com/office/drawing/2014/main" pred="{DBDABB38-F7D5-4267-8B59-B5A194C77E51}"/>
            </a:ext>
          </a:extLst>
        </xdr:cNvPr>
        <xdr:cNvSpPr/>
      </xdr:nvSpPr>
      <xdr:spPr>
        <a:xfrm>
          <a:off x="61045725" y="10410825"/>
          <a:ext cx="53911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41</xdr:col>
      <xdr:colOff>0</xdr:colOff>
      <xdr:row>23</xdr:row>
      <xdr:rowOff>104775</xdr:rowOff>
    </xdr:from>
    <xdr:to>
      <xdr:col>41</xdr:col>
      <xdr:colOff>1790700</xdr:colOff>
      <xdr:row>23</xdr:row>
      <xdr:rowOff>371475</xdr:rowOff>
    </xdr:to>
    <xdr:sp macro="" textlink="">
      <xdr:nvSpPr>
        <xdr:cNvPr id="24" name="Rectángulo redondeado 23">
          <a:extLst>
            <a:ext uri="{FF2B5EF4-FFF2-40B4-BE49-F238E27FC236}">
              <a16:creationId xmlns:a16="http://schemas.microsoft.com/office/drawing/2014/main" id="{AC9A8233-E588-4BF0-820A-D773535A5F62}"/>
            </a:ext>
            <a:ext uri="{147F2762-F138-4A5C-976F-8EAC2B608ADB}">
              <a16:predDERef xmlns:a16="http://schemas.microsoft.com/office/drawing/2014/main" pred="{2701B509-828E-4152-8600-BDF573A74F3E}"/>
            </a:ext>
          </a:extLst>
        </xdr:cNvPr>
        <xdr:cNvSpPr/>
      </xdr:nvSpPr>
      <xdr:spPr>
        <a:xfrm>
          <a:off x="66446400" y="1088707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42</xdr:col>
      <xdr:colOff>0</xdr:colOff>
      <xdr:row>24</xdr:row>
      <xdr:rowOff>95250</xdr:rowOff>
    </xdr:from>
    <xdr:to>
      <xdr:col>42</xdr:col>
      <xdr:colOff>1790700</xdr:colOff>
      <xdr:row>24</xdr:row>
      <xdr:rowOff>361950</xdr:rowOff>
    </xdr:to>
    <xdr:sp macro="" textlink="">
      <xdr:nvSpPr>
        <xdr:cNvPr id="25" name="Rectángulo redondeado 24">
          <a:extLst>
            <a:ext uri="{FF2B5EF4-FFF2-40B4-BE49-F238E27FC236}">
              <a16:creationId xmlns:a16="http://schemas.microsoft.com/office/drawing/2014/main" id="{CFC88A61-DE76-4D07-A321-76CCD770E125}"/>
            </a:ext>
            <a:ext uri="{147F2762-F138-4A5C-976F-8EAC2B608ADB}">
              <a16:predDERef xmlns:a16="http://schemas.microsoft.com/office/drawing/2014/main" pred="{AC9A8233-E588-4BF0-820A-D773535A5F62}"/>
            </a:ext>
          </a:extLst>
        </xdr:cNvPr>
        <xdr:cNvSpPr/>
      </xdr:nvSpPr>
      <xdr:spPr>
        <a:xfrm>
          <a:off x="68246625" y="1137285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43</xdr:col>
      <xdr:colOff>0</xdr:colOff>
      <xdr:row>25</xdr:row>
      <xdr:rowOff>104775</xdr:rowOff>
    </xdr:from>
    <xdr:to>
      <xdr:col>46</xdr:col>
      <xdr:colOff>0</xdr:colOff>
      <xdr:row>25</xdr:row>
      <xdr:rowOff>371475</xdr:rowOff>
    </xdr:to>
    <xdr:sp macro="" textlink="">
      <xdr:nvSpPr>
        <xdr:cNvPr id="26" name="Rectángulo redondeado 25">
          <a:extLst>
            <a:ext uri="{FF2B5EF4-FFF2-40B4-BE49-F238E27FC236}">
              <a16:creationId xmlns:a16="http://schemas.microsoft.com/office/drawing/2014/main" id="{8F70456B-4319-481D-9716-D864CDF8558D}"/>
            </a:ext>
            <a:ext uri="{147F2762-F138-4A5C-976F-8EAC2B608ADB}">
              <a16:predDERef xmlns:a16="http://schemas.microsoft.com/office/drawing/2014/main" pred="{CFC88A61-DE76-4D07-A321-76CCD770E125}"/>
            </a:ext>
          </a:extLst>
        </xdr:cNvPr>
        <xdr:cNvSpPr/>
      </xdr:nvSpPr>
      <xdr:spPr>
        <a:xfrm>
          <a:off x="73647300" y="11877675"/>
          <a:ext cx="5400675"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46</xdr:col>
      <xdr:colOff>0</xdr:colOff>
      <xdr:row>26</xdr:row>
      <xdr:rowOff>114300</xdr:rowOff>
    </xdr:from>
    <xdr:to>
      <xdr:col>48</xdr:col>
      <xdr:colOff>0</xdr:colOff>
      <xdr:row>26</xdr:row>
      <xdr:rowOff>381000</xdr:rowOff>
    </xdr:to>
    <xdr:sp macro="" textlink="">
      <xdr:nvSpPr>
        <xdr:cNvPr id="27" name="Rectángulo redondeado 26">
          <a:extLst>
            <a:ext uri="{FF2B5EF4-FFF2-40B4-BE49-F238E27FC236}">
              <a16:creationId xmlns:a16="http://schemas.microsoft.com/office/drawing/2014/main" id="{FF906147-16C9-49AC-8888-152A15ADCB6C}"/>
            </a:ext>
            <a:ext uri="{147F2762-F138-4A5C-976F-8EAC2B608ADB}">
              <a16:predDERef xmlns:a16="http://schemas.microsoft.com/office/drawing/2014/main" pred="{8F70456B-4319-481D-9716-D864CDF8558D}"/>
            </a:ext>
          </a:extLst>
        </xdr:cNvPr>
        <xdr:cNvSpPr/>
      </xdr:nvSpPr>
      <xdr:spPr>
        <a:xfrm>
          <a:off x="79047975" y="12382500"/>
          <a:ext cx="36004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48</xdr:col>
      <xdr:colOff>0</xdr:colOff>
      <xdr:row>27</xdr:row>
      <xdr:rowOff>104775</xdr:rowOff>
    </xdr:from>
    <xdr:to>
      <xdr:col>48</xdr:col>
      <xdr:colOff>1790700</xdr:colOff>
      <xdr:row>27</xdr:row>
      <xdr:rowOff>371475</xdr:rowOff>
    </xdr:to>
    <xdr:sp macro="" textlink="">
      <xdr:nvSpPr>
        <xdr:cNvPr id="28" name="Rectángulo redondeado 27">
          <a:extLst>
            <a:ext uri="{FF2B5EF4-FFF2-40B4-BE49-F238E27FC236}">
              <a16:creationId xmlns:a16="http://schemas.microsoft.com/office/drawing/2014/main" id="{E331BEAA-9026-44CE-8344-7FD8EB51DCFF}"/>
            </a:ext>
            <a:ext uri="{147F2762-F138-4A5C-976F-8EAC2B608ADB}">
              <a16:predDERef xmlns:a16="http://schemas.microsoft.com/office/drawing/2014/main" pred="{FF906147-16C9-49AC-8888-152A15ADCB6C}"/>
            </a:ext>
          </a:extLst>
        </xdr:cNvPr>
        <xdr:cNvSpPr/>
      </xdr:nvSpPr>
      <xdr:spPr>
        <a:xfrm>
          <a:off x="77247750" y="1286827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49</xdr:col>
      <xdr:colOff>0</xdr:colOff>
      <xdr:row>28</xdr:row>
      <xdr:rowOff>104775</xdr:rowOff>
    </xdr:from>
    <xdr:to>
      <xdr:col>49</xdr:col>
      <xdr:colOff>1790700</xdr:colOff>
      <xdr:row>28</xdr:row>
      <xdr:rowOff>371475</xdr:rowOff>
    </xdr:to>
    <xdr:sp macro="" textlink="">
      <xdr:nvSpPr>
        <xdr:cNvPr id="29" name="Rectángulo redondeado 28">
          <a:extLst>
            <a:ext uri="{FF2B5EF4-FFF2-40B4-BE49-F238E27FC236}">
              <a16:creationId xmlns:a16="http://schemas.microsoft.com/office/drawing/2014/main" id="{C95829F8-8FCC-40F0-B1DA-B0FD9E8A8D67}"/>
            </a:ext>
            <a:ext uri="{147F2762-F138-4A5C-976F-8EAC2B608ADB}">
              <a16:predDERef xmlns:a16="http://schemas.microsoft.com/office/drawing/2014/main" pred="{E331BEAA-9026-44CE-8344-7FD8EB51DCFF}"/>
            </a:ext>
          </a:extLst>
        </xdr:cNvPr>
        <xdr:cNvSpPr/>
      </xdr:nvSpPr>
      <xdr:spPr>
        <a:xfrm>
          <a:off x="79047975" y="1336357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50</xdr:col>
      <xdr:colOff>0</xdr:colOff>
      <xdr:row>29</xdr:row>
      <xdr:rowOff>95250</xdr:rowOff>
    </xdr:from>
    <xdr:to>
      <xdr:col>51</xdr:col>
      <xdr:colOff>1781175</xdr:colOff>
      <xdr:row>29</xdr:row>
      <xdr:rowOff>361950</xdr:rowOff>
    </xdr:to>
    <xdr:sp macro="" textlink="">
      <xdr:nvSpPr>
        <xdr:cNvPr id="30" name="Rectángulo redondeado 29">
          <a:extLst>
            <a:ext uri="{FF2B5EF4-FFF2-40B4-BE49-F238E27FC236}">
              <a16:creationId xmlns:a16="http://schemas.microsoft.com/office/drawing/2014/main" id="{2CEE3835-C428-40A8-B339-00E46A3C7044}"/>
            </a:ext>
            <a:ext uri="{147F2762-F138-4A5C-976F-8EAC2B608ADB}">
              <a16:predDERef xmlns:a16="http://schemas.microsoft.com/office/drawing/2014/main" pred="{C95829F8-8FCC-40F0-B1DA-B0FD9E8A8D67}"/>
            </a:ext>
          </a:extLst>
        </xdr:cNvPr>
        <xdr:cNvSpPr/>
      </xdr:nvSpPr>
      <xdr:spPr>
        <a:xfrm>
          <a:off x="80848200" y="13849350"/>
          <a:ext cx="35814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52</xdr:col>
      <xdr:colOff>0</xdr:colOff>
      <xdr:row>30</xdr:row>
      <xdr:rowOff>104775</xdr:rowOff>
    </xdr:from>
    <xdr:to>
      <xdr:col>52</xdr:col>
      <xdr:colOff>1790700</xdr:colOff>
      <xdr:row>30</xdr:row>
      <xdr:rowOff>371475</xdr:rowOff>
    </xdr:to>
    <xdr:sp macro="" textlink="">
      <xdr:nvSpPr>
        <xdr:cNvPr id="31" name="Rectángulo redondeado 30">
          <a:extLst>
            <a:ext uri="{FF2B5EF4-FFF2-40B4-BE49-F238E27FC236}">
              <a16:creationId xmlns:a16="http://schemas.microsoft.com/office/drawing/2014/main" id="{4D18F423-A80C-48A8-8435-0B603A7DCF0A}"/>
            </a:ext>
            <a:ext uri="{147F2762-F138-4A5C-976F-8EAC2B608ADB}">
              <a16:predDERef xmlns:a16="http://schemas.microsoft.com/office/drawing/2014/main" pred="{2CEE3835-C428-40A8-B339-00E46A3C7044}"/>
            </a:ext>
          </a:extLst>
        </xdr:cNvPr>
        <xdr:cNvSpPr/>
      </xdr:nvSpPr>
      <xdr:spPr>
        <a:xfrm>
          <a:off x="84448650" y="14354175"/>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53</xdr:col>
      <xdr:colOff>0</xdr:colOff>
      <xdr:row>31</xdr:row>
      <xdr:rowOff>95250</xdr:rowOff>
    </xdr:from>
    <xdr:to>
      <xdr:col>55</xdr:col>
      <xdr:colOff>0</xdr:colOff>
      <xdr:row>31</xdr:row>
      <xdr:rowOff>361950</xdr:rowOff>
    </xdr:to>
    <xdr:sp macro="" textlink="">
      <xdr:nvSpPr>
        <xdr:cNvPr id="32" name="Rectángulo redondeado 31">
          <a:extLst>
            <a:ext uri="{FF2B5EF4-FFF2-40B4-BE49-F238E27FC236}">
              <a16:creationId xmlns:a16="http://schemas.microsoft.com/office/drawing/2014/main" id="{04504C68-4D68-4297-9D94-F34D09574635}"/>
            </a:ext>
            <a:ext uri="{147F2762-F138-4A5C-976F-8EAC2B608ADB}">
              <a16:predDERef xmlns:a16="http://schemas.microsoft.com/office/drawing/2014/main" pred="{4D18F423-A80C-48A8-8435-0B603A7DCF0A}"/>
            </a:ext>
          </a:extLst>
        </xdr:cNvPr>
        <xdr:cNvSpPr/>
      </xdr:nvSpPr>
      <xdr:spPr>
        <a:xfrm>
          <a:off x="86248875" y="14839950"/>
          <a:ext cx="36004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60</xdr:col>
      <xdr:colOff>0</xdr:colOff>
      <xdr:row>32</xdr:row>
      <xdr:rowOff>123825</xdr:rowOff>
    </xdr:from>
    <xdr:to>
      <xdr:col>65</xdr:col>
      <xdr:colOff>9525</xdr:colOff>
      <xdr:row>32</xdr:row>
      <xdr:rowOff>390525</xdr:rowOff>
    </xdr:to>
    <xdr:sp macro="" textlink="">
      <xdr:nvSpPr>
        <xdr:cNvPr id="33" name="Rectángulo redondeado 32">
          <a:extLst>
            <a:ext uri="{FF2B5EF4-FFF2-40B4-BE49-F238E27FC236}">
              <a16:creationId xmlns:a16="http://schemas.microsoft.com/office/drawing/2014/main" id="{0B4AAA08-03C2-4FC9-A2C5-CCE9B8886060}"/>
            </a:ext>
            <a:ext uri="{147F2762-F138-4A5C-976F-8EAC2B608ADB}">
              <a16:predDERef xmlns:a16="http://schemas.microsoft.com/office/drawing/2014/main" pred="{04504C68-4D68-4297-9D94-F34D09574635}"/>
            </a:ext>
          </a:extLst>
        </xdr:cNvPr>
        <xdr:cNvSpPr/>
      </xdr:nvSpPr>
      <xdr:spPr>
        <a:xfrm>
          <a:off x="104251125" y="15363825"/>
          <a:ext cx="901065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65</xdr:col>
      <xdr:colOff>0</xdr:colOff>
      <xdr:row>33</xdr:row>
      <xdr:rowOff>104775</xdr:rowOff>
    </xdr:from>
    <xdr:to>
      <xdr:col>65</xdr:col>
      <xdr:colOff>1790700</xdr:colOff>
      <xdr:row>33</xdr:row>
      <xdr:rowOff>371475</xdr:rowOff>
    </xdr:to>
    <xdr:sp macro="" textlink="">
      <xdr:nvSpPr>
        <xdr:cNvPr id="34" name="Rectángulo redondeado 33">
          <a:extLst>
            <a:ext uri="{FF2B5EF4-FFF2-40B4-BE49-F238E27FC236}">
              <a16:creationId xmlns:a16="http://schemas.microsoft.com/office/drawing/2014/main" id="{3E10F2C3-BB30-4074-9675-20E484351E6F}"/>
            </a:ext>
            <a:ext uri="{147F2762-F138-4A5C-976F-8EAC2B608ADB}">
              <a16:predDERef xmlns:a16="http://schemas.microsoft.com/office/drawing/2014/main" pred="{0B4AAA08-03C2-4FC9-A2C5-CCE9B8886060}"/>
            </a:ext>
          </a:extLst>
        </xdr:cNvPr>
        <xdr:cNvSpPr/>
      </xdr:nvSpPr>
      <xdr:spPr>
        <a:xfrm>
          <a:off x="93449775" y="15840075"/>
          <a:ext cx="179070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66</xdr:col>
      <xdr:colOff>0</xdr:colOff>
      <xdr:row>34</xdr:row>
      <xdr:rowOff>114300</xdr:rowOff>
    </xdr:from>
    <xdr:to>
      <xdr:col>69</xdr:col>
      <xdr:colOff>1790700</xdr:colOff>
      <xdr:row>34</xdr:row>
      <xdr:rowOff>381000</xdr:rowOff>
    </xdr:to>
    <xdr:sp macro="" textlink="">
      <xdr:nvSpPr>
        <xdr:cNvPr id="35" name="Rectángulo redondeado 34">
          <a:extLst>
            <a:ext uri="{FF2B5EF4-FFF2-40B4-BE49-F238E27FC236}">
              <a16:creationId xmlns:a16="http://schemas.microsoft.com/office/drawing/2014/main" id="{552D6B58-FDCA-493F-8F76-23014B66D908}"/>
            </a:ext>
            <a:ext uri="{147F2762-F138-4A5C-976F-8EAC2B608ADB}">
              <a16:predDERef xmlns:a16="http://schemas.microsoft.com/office/drawing/2014/main" pred="{3E10F2C3-BB30-4074-9675-20E484351E6F}"/>
            </a:ext>
          </a:extLst>
        </xdr:cNvPr>
        <xdr:cNvSpPr/>
      </xdr:nvSpPr>
      <xdr:spPr>
        <a:xfrm>
          <a:off x="95250000" y="16344900"/>
          <a:ext cx="7191375"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70</xdr:col>
      <xdr:colOff>0</xdr:colOff>
      <xdr:row>35</xdr:row>
      <xdr:rowOff>95250</xdr:rowOff>
    </xdr:from>
    <xdr:to>
      <xdr:col>70</xdr:col>
      <xdr:colOff>1790700</xdr:colOff>
      <xdr:row>35</xdr:row>
      <xdr:rowOff>361950</xdr:rowOff>
    </xdr:to>
    <xdr:sp macro="" textlink="">
      <xdr:nvSpPr>
        <xdr:cNvPr id="36" name="Rectángulo redondeado 35">
          <a:extLst>
            <a:ext uri="{FF2B5EF4-FFF2-40B4-BE49-F238E27FC236}">
              <a16:creationId xmlns:a16="http://schemas.microsoft.com/office/drawing/2014/main" id="{171D9222-1A1F-46CD-AACA-5E61B4A3AD6E}"/>
            </a:ext>
            <a:ext uri="{147F2762-F138-4A5C-976F-8EAC2B608ADB}">
              <a16:predDERef xmlns:a16="http://schemas.microsoft.com/office/drawing/2014/main" pred="{552D6B58-FDCA-493F-8F76-23014B66D908}"/>
            </a:ext>
          </a:extLst>
        </xdr:cNvPr>
        <xdr:cNvSpPr/>
      </xdr:nvSpPr>
      <xdr:spPr>
        <a:xfrm>
          <a:off x="102450900" y="16821150"/>
          <a:ext cx="179070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70</xdr:col>
      <xdr:colOff>0</xdr:colOff>
      <xdr:row>36</xdr:row>
      <xdr:rowOff>104775</xdr:rowOff>
    </xdr:from>
    <xdr:to>
      <xdr:col>70</xdr:col>
      <xdr:colOff>1790700</xdr:colOff>
      <xdr:row>36</xdr:row>
      <xdr:rowOff>371475</xdr:rowOff>
    </xdr:to>
    <xdr:sp macro="" textlink="">
      <xdr:nvSpPr>
        <xdr:cNvPr id="37" name="Rectángulo redondeado 36">
          <a:extLst>
            <a:ext uri="{FF2B5EF4-FFF2-40B4-BE49-F238E27FC236}">
              <a16:creationId xmlns:a16="http://schemas.microsoft.com/office/drawing/2014/main" id="{2A2CF331-CB8A-4FA6-8D8B-FD66E96EF880}"/>
            </a:ext>
            <a:ext uri="{147F2762-F138-4A5C-976F-8EAC2B608ADB}">
              <a16:predDERef xmlns:a16="http://schemas.microsoft.com/office/drawing/2014/main" pred="{171D9222-1A1F-46CD-AACA-5E61B4A3AD6E}"/>
            </a:ext>
          </a:extLst>
        </xdr:cNvPr>
        <xdr:cNvSpPr/>
      </xdr:nvSpPr>
      <xdr:spPr>
        <a:xfrm>
          <a:off x="102450900" y="17325975"/>
          <a:ext cx="1790700" cy="2667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71</xdr:col>
      <xdr:colOff>0</xdr:colOff>
      <xdr:row>37</xdr:row>
      <xdr:rowOff>66675</xdr:rowOff>
    </xdr:from>
    <xdr:to>
      <xdr:col>74</xdr:col>
      <xdr:colOff>2038350</xdr:colOff>
      <xdr:row>37</xdr:row>
      <xdr:rowOff>333375</xdr:rowOff>
    </xdr:to>
    <xdr:sp macro="" textlink="">
      <xdr:nvSpPr>
        <xdr:cNvPr id="38" name="Rectángulo redondeado 37">
          <a:extLst>
            <a:ext uri="{FF2B5EF4-FFF2-40B4-BE49-F238E27FC236}">
              <a16:creationId xmlns:a16="http://schemas.microsoft.com/office/drawing/2014/main" id="{E8736231-3D6F-4035-803F-96883F7726E8}"/>
            </a:ext>
            <a:ext uri="{147F2762-F138-4A5C-976F-8EAC2B608ADB}">
              <a16:predDERef xmlns:a16="http://schemas.microsoft.com/office/drawing/2014/main" pred="{2A2CF331-CB8A-4FA6-8D8B-FD66E96EF880}"/>
            </a:ext>
          </a:extLst>
        </xdr:cNvPr>
        <xdr:cNvSpPr/>
      </xdr:nvSpPr>
      <xdr:spPr>
        <a:xfrm>
          <a:off x="104251125" y="17783175"/>
          <a:ext cx="8210550"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75</xdr:col>
      <xdr:colOff>0</xdr:colOff>
      <xdr:row>38</xdr:row>
      <xdr:rowOff>123825</xdr:rowOff>
    </xdr:from>
    <xdr:to>
      <xdr:col>76</xdr:col>
      <xdr:colOff>0</xdr:colOff>
      <xdr:row>38</xdr:row>
      <xdr:rowOff>390525</xdr:rowOff>
    </xdr:to>
    <xdr:sp macro="" textlink="">
      <xdr:nvSpPr>
        <xdr:cNvPr id="39" name="Rectángulo redondeado 38">
          <a:extLst>
            <a:ext uri="{FF2B5EF4-FFF2-40B4-BE49-F238E27FC236}">
              <a16:creationId xmlns:a16="http://schemas.microsoft.com/office/drawing/2014/main" id="{8FCD2A0E-6124-40A6-9B06-C0C83F76E5D4}"/>
            </a:ext>
            <a:ext uri="{147F2762-F138-4A5C-976F-8EAC2B608ADB}">
              <a16:predDERef xmlns:a16="http://schemas.microsoft.com/office/drawing/2014/main" pred="{E8736231-3D6F-4035-803F-96883F7726E8}"/>
            </a:ext>
          </a:extLst>
        </xdr:cNvPr>
        <xdr:cNvSpPr/>
      </xdr:nvSpPr>
      <xdr:spPr>
        <a:xfrm>
          <a:off x="112480725" y="18335625"/>
          <a:ext cx="2057400" cy="2667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xdr:from>
      <xdr:col>76</xdr:col>
      <xdr:colOff>0</xdr:colOff>
      <xdr:row>39</xdr:row>
      <xdr:rowOff>133350</xdr:rowOff>
    </xdr:from>
    <xdr:to>
      <xdr:col>81</xdr:col>
      <xdr:colOff>0</xdr:colOff>
      <xdr:row>39</xdr:row>
      <xdr:rowOff>400050</xdr:rowOff>
    </xdr:to>
    <xdr:sp macro="" textlink="">
      <xdr:nvSpPr>
        <xdr:cNvPr id="40" name="Rectángulo redondeado 39">
          <a:extLst>
            <a:ext uri="{FF2B5EF4-FFF2-40B4-BE49-F238E27FC236}">
              <a16:creationId xmlns:a16="http://schemas.microsoft.com/office/drawing/2014/main" id="{1586494B-A5A7-4F19-8E88-053CC5E00175}"/>
            </a:ext>
            <a:ext uri="{147F2762-F138-4A5C-976F-8EAC2B608ADB}">
              <a16:predDERef xmlns:a16="http://schemas.microsoft.com/office/drawing/2014/main" pred="{8FCD2A0E-6124-40A6-9B06-C0C83F76E5D4}"/>
            </a:ext>
          </a:extLst>
        </xdr:cNvPr>
        <xdr:cNvSpPr/>
      </xdr:nvSpPr>
      <xdr:spPr>
        <a:xfrm>
          <a:off x="114538125" y="18840450"/>
          <a:ext cx="10296525" cy="266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PENDIENTE</a:t>
          </a:r>
        </a:p>
      </xdr:txBody>
    </xdr:sp>
    <xdr:clientData/>
  </xdr:twoCellAnchor>
  <xdr:twoCellAnchor editAs="oneCell">
    <xdr:from>
      <xdr:col>75</xdr:col>
      <xdr:colOff>1885950</xdr:colOff>
      <xdr:row>37</xdr:row>
      <xdr:rowOff>247650</xdr:rowOff>
    </xdr:from>
    <xdr:to>
      <xdr:col>76</xdr:col>
      <xdr:colOff>381000</xdr:colOff>
      <xdr:row>38</xdr:row>
      <xdr:rowOff>304800</xdr:rowOff>
    </xdr:to>
    <xdr:pic>
      <xdr:nvPicPr>
        <xdr:cNvPr id="41" name="Imagen 40">
          <a:extLst>
            <a:ext uri="{FF2B5EF4-FFF2-40B4-BE49-F238E27FC236}">
              <a16:creationId xmlns:a16="http://schemas.microsoft.com/office/drawing/2014/main" id="{76F843FE-617A-4914-9EEE-C3406AF71E8B}"/>
            </a:ext>
            <a:ext uri="{147F2762-F138-4A5C-976F-8EAC2B608ADB}">
              <a16:predDERef xmlns:a16="http://schemas.microsoft.com/office/drawing/2014/main" pred="{1586494B-A5A7-4F19-8E88-053CC5E00175}"/>
            </a:ext>
          </a:extLst>
        </xdr:cNvPr>
        <xdr:cNvPicPr>
          <a:picLocks noChangeAspect="1"/>
        </xdr:cNvPicPr>
      </xdr:nvPicPr>
      <xdr:blipFill>
        <a:blip xmlns:r="http://schemas.openxmlformats.org/officeDocument/2006/relationships" r:embed="rId1"/>
        <a:stretch>
          <a:fillRect/>
        </a:stretch>
      </xdr:blipFill>
      <xdr:spPr>
        <a:xfrm>
          <a:off x="114366675" y="17964150"/>
          <a:ext cx="552450" cy="552450"/>
        </a:xfrm>
        <a:prstGeom prst="rect">
          <a:avLst/>
        </a:prstGeom>
      </xdr:spPr>
    </xdr:pic>
    <xdr:clientData/>
  </xdr:twoCellAnchor>
  <xdr:twoCellAnchor editAs="oneCell">
    <xdr:from>
      <xdr:col>70</xdr:col>
      <xdr:colOff>1647825</xdr:colOff>
      <xdr:row>35</xdr:row>
      <xdr:rowOff>247650</xdr:rowOff>
    </xdr:from>
    <xdr:to>
      <xdr:col>71</xdr:col>
      <xdr:colOff>400050</xdr:colOff>
      <xdr:row>36</xdr:row>
      <xdr:rowOff>304800</xdr:rowOff>
    </xdr:to>
    <xdr:pic>
      <xdr:nvPicPr>
        <xdr:cNvPr id="42" name="Imagen 41">
          <a:extLst>
            <a:ext uri="{FF2B5EF4-FFF2-40B4-BE49-F238E27FC236}">
              <a16:creationId xmlns:a16="http://schemas.microsoft.com/office/drawing/2014/main" id="{64C70E69-F16B-4E76-B6C2-B85978851D07}"/>
            </a:ext>
            <a:ext uri="{147F2762-F138-4A5C-976F-8EAC2B608ADB}">
              <a16:predDERef xmlns:a16="http://schemas.microsoft.com/office/drawing/2014/main" pred="{76F843FE-617A-4914-9EEE-C3406AF71E8B}"/>
            </a:ext>
          </a:extLst>
        </xdr:cNvPr>
        <xdr:cNvPicPr>
          <a:picLocks noChangeAspect="1"/>
        </xdr:cNvPicPr>
      </xdr:nvPicPr>
      <xdr:blipFill>
        <a:blip xmlns:r="http://schemas.openxmlformats.org/officeDocument/2006/relationships" r:embed="rId1"/>
        <a:stretch>
          <a:fillRect/>
        </a:stretch>
      </xdr:blipFill>
      <xdr:spPr>
        <a:xfrm>
          <a:off x="104098725" y="16973550"/>
          <a:ext cx="552450" cy="552450"/>
        </a:xfrm>
        <a:prstGeom prst="rect">
          <a:avLst/>
        </a:prstGeom>
      </xdr:spPr>
    </xdr:pic>
    <xdr:clientData/>
  </xdr:twoCellAnchor>
  <xdr:twoCellAnchor>
    <xdr:from>
      <xdr:col>65</xdr:col>
      <xdr:colOff>857250</xdr:colOff>
      <xdr:row>1</xdr:row>
      <xdr:rowOff>161925</xdr:rowOff>
    </xdr:from>
    <xdr:to>
      <xdr:col>65</xdr:col>
      <xdr:colOff>876300</xdr:colOff>
      <xdr:row>39</xdr:row>
      <xdr:rowOff>466725</xdr:rowOff>
    </xdr:to>
    <xdr:cxnSp macro="">
      <xdr:nvCxnSpPr>
        <xdr:cNvPr id="5" name="Conector recto 4">
          <a:extLst>
            <a:ext uri="{FF2B5EF4-FFF2-40B4-BE49-F238E27FC236}">
              <a16:creationId xmlns:a16="http://schemas.microsoft.com/office/drawing/2014/main" id="{B4679596-42D1-4237-B753-FC4721F73FED}"/>
            </a:ext>
            <a:ext uri="{147F2762-F138-4A5C-976F-8EAC2B608ADB}">
              <a16:predDERef xmlns:a16="http://schemas.microsoft.com/office/drawing/2014/main" pred="{64C70E69-F16B-4E76-B6C2-B85978851D07}"/>
            </a:ext>
          </a:extLst>
        </xdr:cNvPr>
        <xdr:cNvCxnSpPr>
          <a:cxnSpLocks/>
          <a:extLst>
            <a:ext uri="{5F17804C-33F3-41E3-A699-7DCFA2EF7971}">
              <a16:cxnDERefs xmlns:a16="http://schemas.microsoft.com/office/drawing/2014/main" st="{4FF926B3-784D-4BBA-B3D7-1AE1CE60CD00}" end="{00000000-0000-0000-0000-000000000000}"/>
            </a:ext>
          </a:extLst>
        </xdr:cNvCxnSpPr>
      </xdr:nvCxnSpPr>
      <xdr:spPr>
        <a:xfrm flipH="1">
          <a:off x="114109500" y="352425"/>
          <a:ext cx="19050" cy="1882140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0</xdr:colOff>
      <xdr:row>21</xdr:row>
      <xdr:rowOff>76200</xdr:rowOff>
    </xdr:from>
    <xdr:to>
      <xdr:col>19</xdr:col>
      <xdr:colOff>1790700</xdr:colOff>
      <xdr:row>21</xdr:row>
      <xdr:rowOff>342900</xdr:rowOff>
    </xdr:to>
    <xdr:sp macro="" textlink="">
      <xdr:nvSpPr>
        <xdr:cNvPr id="44" name="Rectángulo redondeado 43">
          <a:extLst>
            <a:ext uri="{FF2B5EF4-FFF2-40B4-BE49-F238E27FC236}">
              <a16:creationId xmlns:a16="http://schemas.microsoft.com/office/drawing/2014/main" id="{84F16047-F6EE-43EB-8CAA-34559E40B7B6}"/>
            </a:ext>
            <a:ext uri="{147F2762-F138-4A5C-976F-8EAC2B608ADB}">
              <a16:predDERef xmlns:a16="http://schemas.microsoft.com/office/drawing/2014/main" pred="{660A4024-3E16-4981-9ACA-FB94C197FA62}"/>
            </a:ext>
          </a:extLst>
        </xdr:cNvPr>
        <xdr:cNvSpPr/>
      </xdr:nvSpPr>
      <xdr:spPr>
        <a:xfrm>
          <a:off x="30441900" y="9867900"/>
          <a:ext cx="1790700" cy="2667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EN PROCESO</a:t>
          </a:r>
        </a:p>
      </xdr:txBody>
    </xdr:sp>
    <xdr:clientData/>
  </xdr:twoCellAnchor>
  <xdr:twoCellAnchor>
    <xdr:from>
      <xdr:col>55</xdr:col>
      <xdr:colOff>1790700</xdr:colOff>
      <xdr:row>25</xdr:row>
      <xdr:rowOff>114300</xdr:rowOff>
    </xdr:from>
    <xdr:to>
      <xdr:col>56</xdr:col>
      <xdr:colOff>1781175</xdr:colOff>
      <xdr:row>25</xdr:row>
      <xdr:rowOff>381000</xdr:rowOff>
    </xdr:to>
    <xdr:sp macro="" textlink="">
      <xdr:nvSpPr>
        <xdr:cNvPr id="43" name="Rectángulo redondeado 42">
          <a:extLst>
            <a:ext uri="{FF2B5EF4-FFF2-40B4-BE49-F238E27FC236}">
              <a16:creationId xmlns:a16="http://schemas.microsoft.com/office/drawing/2014/main" id="{422A300A-445E-4501-A848-C14C31085525}"/>
            </a:ext>
            <a:ext uri="{147F2762-F138-4A5C-976F-8EAC2B608ADB}">
              <a16:predDERef xmlns:a16="http://schemas.microsoft.com/office/drawing/2014/main" pred="{84F16047-F6EE-43EB-8CAA-34559E40B7B6}"/>
            </a:ext>
          </a:extLst>
        </xdr:cNvPr>
        <xdr:cNvSpPr/>
      </xdr:nvSpPr>
      <xdr:spPr>
        <a:xfrm>
          <a:off x="97040700" y="11887200"/>
          <a:ext cx="179070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twoCellAnchor>
    <xdr:from>
      <xdr:col>57</xdr:col>
      <xdr:colOff>0</xdr:colOff>
      <xdr:row>29</xdr:row>
      <xdr:rowOff>123825</xdr:rowOff>
    </xdr:from>
    <xdr:to>
      <xdr:col>59</xdr:col>
      <xdr:colOff>1790700</xdr:colOff>
      <xdr:row>29</xdr:row>
      <xdr:rowOff>390525</xdr:rowOff>
    </xdr:to>
    <xdr:sp macro="" textlink="">
      <xdr:nvSpPr>
        <xdr:cNvPr id="45" name="Rectángulo redondeado 44">
          <a:extLst>
            <a:ext uri="{FF2B5EF4-FFF2-40B4-BE49-F238E27FC236}">
              <a16:creationId xmlns:a16="http://schemas.microsoft.com/office/drawing/2014/main" id="{3FFEBD52-238F-4070-8135-94DA50B23E92}"/>
            </a:ext>
            <a:ext uri="{147F2762-F138-4A5C-976F-8EAC2B608ADB}">
              <a16:predDERef xmlns:a16="http://schemas.microsoft.com/office/drawing/2014/main" pred="{422A300A-445E-4501-A848-C14C31085525}"/>
            </a:ext>
          </a:extLst>
        </xdr:cNvPr>
        <xdr:cNvSpPr/>
      </xdr:nvSpPr>
      <xdr:spPr>
        <a:xfrm>
          <a:off x="98850450" y="13877925"/>
          <a:ext cx="5391150" cy="2667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800" b="0" i="0" u="none" strike="noStrike">
              <a:solidFill>
                <a:srgbClr val="000000"/>
              </a:solidFill>
              <a:latin typeface="Aptos Narrow" panose="020B0004020202020204" pitchFamily="34" charset="0"/>
            </a:rPr>
            <a:t>REALIZADO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0194-DCBE-4C53-A796-2AD965D63A6E}">
  <dimension ref="C2:J23"/>
  <sheetViews>
    <sheetView topLeftCell="A2" workbookViewId="0">
      <selection activeCell="G5" sqref="G5"/>
    </sheetView>
  </sheetViews>
  <sheetFormatPr defaultRowHeight="15"/>
  <cols>
    <col min="3" max="3" width="34.28515625" customWidth="1"/>
    <col min="4" max="4" width="16.140625" customWidth="1"/>
    <col min="6" max="6" width="34" customWidth="1"/>
    <col min="7" max="7" width="17" customWidth="1"/>
    <col min="9" max="9" width="26.140625" customWidth="1"/>
    <col min="10" max="10" width="14.42578125" customWidth="1"/>
  </cols>
  <sheetData>
    <row r="2" spans="3:10" ht="18" customHeight="1">
      <c r="C2" s="5" t="s">
        <v>0</v>
      </c>
      <c r="D2" s="5" t="s">
        <v>1</v>
      </c>
      <c r="F2" s="5" t="s">
        <v>2</v>
      </c>
      <c r="G2" s="5" t="s">
        <v>1</v>
      </c>
      <c r="I2" s="5" t="s">
        <v>3</v>
      </c>
      <c r="J2" s="5" t="s">
        <v>1</v>
      </c>
    </row>
    <row r="3" spans="3:10" ht="30">
      <c r="C3" s="4" t="s">
        <v>4</v>
      </c>
      <c r="D3" s="39">
        <f>1/1</f>
        <v>1</v>
      </c>
      <c r="F3" s="4" t="s">
        <v>5</v>
      </c>
      <c r="G3" s="39">
        <f>4/4</f>
        <v>1</v>
      </c>
      <c r="I3" s="4" t="s">
        <v>6</v>
      </c>
      <c r="J3" s="39">
        <f>7/7</f>
        <v>1</v>
      </c>
    </row>
    <row r="4" spans="3:10" ht="30" customHeight="1">
      <c r="C4" s="4" t="s">
        <v>5</v>
      </c>
      <c r="D4" s="39">
        <f>5/5</f>
        <v>1</v>
      </c>
      <c r="F4" s="4" t="s">
        <v>7</v>
      </c>
      <c r="G4" s="39">
        <f>15/15</f>
        <v>1</v>
      </c>
      <c r="I4" s="4" t="s">
        <v>6</v>
      </c>
      <c r="J4" s="39">
        <f>15/15</f>
        <v>1</v>
      </c>
    </row>
    <row r="5" spans="3:10" ht="29.25" customHeight="1">
      <c r="C5" s="4" t="s">
        <v>8</v>
      </c>
      <c r="D5" s="39">
        <f>5/5</f>
        <v>1</v>
      </c>
      <c r="F5" s="4" t="s">
        <v>9</v>
      </c>
      <c r="G5" s="39">
        <f>1/3</f>
        <v>0.33333333333333331</v>
      </c>
      <c r="I5" s="4" t="s">
        <v>10</v>
      </c>
      <c r="J5" s="39">
        <f>8/9</f>
        <v>0.88888888888888884</v>
      </c>
    </row>
    <row r="6" spans="3:10" ht="45">
      <c r="C6" s="4" t="s">
        <v>11</v>
      </c>
      <c r="D6" s="39">
        <f>3/3</f>
        <v>1</v>
      </c>
      <c r="F6" s="4" t="s">
        <v>12</v>
      </c>
      <c r="G6" s="17">
        <v>0</v>
      </c>
      <c r="I6" s="4" t="s">
        <v>13</v>
      </c>
      <c r="J6" s="17">
        <v>0</v>
      </c>
    </row>
    <row r="7" spans="3:10">
      <c r="C7" s="4" t="s">
        <v>14</v>
      </c>
      <c r="D7" s="39">
        <f>3/3</f>
        <v>1</v>
      </c>
      <c r="F7" s="4" t="s">
        <v>15</v>
      </c>
      <c r="G7" s="17">
        <v>0</v>
      </c>
    </row>
    <row r="8" spans="3:10">
      <c r="C8" s="4" t="s">
        <v>16</v>
      </c>
      <c r="D8" s="39">
        <f>4/4</f>
        <v>1</v>
      </c>
      <c r="F8" s="24"/>
      <c r="I8" s="18" t="s">
        <v>17</v>
      </c>
      <c r="J8" s="19" cm="1">
        <f t="array" ref="J8">SUM(J3:J6/5)</f>
        <v>0.57777777777777772</v>
      </c>
    </row>
    <row r="9" spans="3:10">
      <c r="C9" s="4" t="s">
        <v>18</v>
      </c>
      <c r="D9" s="39">
        <f>3/3</f>
        <v>1</v>
      </c>
      <c r="F9" s="18" t="s">
        <v>17</v>
      </c>
      <c r="G9" s="19" cm="1">
        <f t="array" ref="G9">SUM(G3:G7/5)</f>
        <v>0.46666666666666667</v>
      </c>
      <c r="J9" s="14"/>
    </row>
    <row r="10" spans="3:10" ht="30">
      <c r="C10" s="4" t="s">
        <v>19</v>
      </c>
      <c r="D10" s="39">
        <f>3/3</f>
        <v>1</v>
      </c>
      <c r="G10" s="14"/>
      <c r="I10" s="16" t="s">
        <v>20</v>
      </c>
      <c r="J10" s="27">
        <f>SUM(Robotina!E3:E26)+SUM(Robotina!E27:E30)+SUM(Robotina!E31)+ SUM(Robotina!E33)</f>
        <v>392</v>
      </c>
    </row>
    <row r="11" spans="3:10">
      <c r="C11" s="4" t="s">
        <v>21</v>
      </c>
      <c r="D11" s="39">
        <f>3/3</f>
        <v>1</v>
      </c>
      <c r="F11" s="16" t="s">
        <v>20</v>
      </c>
      <c r="G11" s="27">
        <f>SUM(Feli!E3:E22)</f>
        <v>398</v>
      </c>
    </row>
    <row r="12" spans="3:10">
      <c r="C12" s="4" t="s">
        <v>22</v>
      </c>
      <c r="D12" s="39">
        <f>1/1</f>
        <v>1</v>
      </c>
      <c r="F12" s="24"/>
    </row>
    <row r="13" spans="3:10">
      <c r="C13" s="4" t="s">
        <v>13</v>
      </c>
      <c r="D13" s="39">
        <f>5/8</f>
        <v>0.625</v>
      </c>
      <c r="F13" s="24"/>
      <c r="G13" s="36"/>
    </row>
    <row r="14" spans="3:10">
      <c r="F14" s="24"/>
    </row>
    <row r="15" spans="3:10">
      <c r="C15" s="18" t="s">
        <v>17</v>
      </c>
      <c r="D15" s="19" cm="1">
        <f t="array" ref="D15">SUM(D3:D13/11)</f>
        <v>0.96590909090909105</v>
      </c>
    </row>
    <row r="16" spans="3:10">
      <c r="D16" s="14"/>
    </row>
    <row r="17" spans="3:7">
      <c r="C17" s="16" t="s">
        <v>20</v>
      </c>
      <c r="D17" s="27">
        <f>SUM(Nova!E3:E35)+SUM(Nova!E38:E40)</f>
        <v>452</v>
      </c>
    </row>
    <row r="18" spans="3:7">
      <c r="G18" s="36"/>
    </row>
    <row r="19" spans="3:7">
      <c r="C19" s="35"/>
      <c r="E19" s="35"/>
      <c r="F19" s="35"/>
      <c r="G19" s="36"/>
    </row>
    <row r="20" spans="3:7">
      <c r="D20" s="34"/>
      <c r="G20" s="34"/>
    </row>
    <row r="21" spans="3:7">
      <c r="D21" s="29"/>
      <c r="G21" s="29"/>
    </row>
    <row r="22" spans="3:7">
      <c r="F22" s="29"/>
    </row>
    <row r="23" spans="3:7">
      <c r="F23"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B49"/>
  <sheetViews>
    <sheetView showGridLines="0" workbookViewId="0">
      <pane xSplit="6" topLeftCell="BQ14" activePane="topRight" state="frozen"/>
      <selection pane="topRight" activeCell="BY6" sqref="BY6"/>
    </sheetView>
  </sheetViews>
  <sheetFormatPr defaultRowHeight="15"/>
  <cols>
    <col min="2" max="2" width="26.28515625" customWidth="1"/>
    <col min="3" max="3" width="70.42578125" customWidth="1"/>
    <col min="4" max="4" width="17.28515625" customWidth="1"/>
    <col min="5" max="6" width="7.7109375" customWidth="1"/>
    <col min="7" max="7" width="15.85546875" customWidth="1"/>
    <col min="8" max="10" width="16" customWidth="1"/>
    <col min="11" max="11" width="16.42578125" customWidth="1"/>
    <col min="12" max="12" width="17.85546875" customWidth="1"/>
    <col min="13" max="13" width="17.140625" customWidth="1"/>
    <col min="14" max="14" width="16" customWidth="1"/>
    <col min="15" max="15" width="17.7109375" customWidth="1"/>
    <col min="16" max="16" width="18" customWidth="1"/>
    <col min="17" max="19" width="17.7109375" customWidth="1"/>
    <col min="20" max="20" width="20.140625" customWidth="1"/>
    <col min="21" max="22" width="18" customWidth="1"/>
    <col min="23" max="23" width="21" customWidth="1"/>
    <col min="24" max="24" width="18.7109375" customWidth="1"/>
    <col min="25" max="25" width="20.140625" customWidth="1"/>
    <col min="26" max="26" width="21.7109375" customWidth="1"/>
    <col min="27" max="28" width="21.5703125" customWidth="1"/>
    <col min="29" max="29" width="22" customWidth="1"/>
    <col min="30" max="30" width="21.5703125" customWidth="1"/>
    <col min="31" max="32" width="20.85546875" customWidth="1"/>
    <col min="33" max="33" width="19.7109375" customWidth="1"/>
    <col min="34" max="34" width="20.85546875" customWidth="1"/>
    <col min="35" max="35" width="19.5703125" customWidth="1"/>
    <col min="36" max="36" width="20.28515625" customWidth="1"/>
    <col min="37" max="37" width="20.85546875" customWidth="1"/>
    <col min="38" max="38" width="21.28515625" customWidth="1"/>
    <col min="39" max="39" width="24.140625" customWidth="1"/>
    <col min="40" max="40" width="22.85546875" customWidth="1"/>
    <col min="41" max="41" width="23.7109375" customWidth="1"/>
    <col min="42" max="42" width="27.7109375" customWidth="1"/>
    <col min="43" max="43" width="22.85546875" customWidth="1"/>
    <col min="44" max="44" width="23.7109375" customWidth="1"/>
    <col min="45" max="46" width="27.140625" customWidth="1"/>
    <col min="47" max="47" width="26" customWidth="1"/>
    <col min="48" max="48" width="23.140625" customWidth="1"/>
    <col min="49" max="49" width="20.28515625" customWidth="1"/>
    <col min="50" max="51" width="22.85546875" customWidth="1"/>
    <col min="52" max="52" width="20" customWidth="1"/>
    <col min="53" max="53" width="21.42578125" customWidth="1"/>
    <col min="54" max="57" width="26.28515625" customWidth="1"/>
    <col min="58" max="80" width="26" customWidth="1"/>
  </cols>
  <sheetData>
    <row r="2" spans="2:80">
      <c r="B2" s="5" t="s">
        <v>23</v>
      </c>
      <c r="C2" s="5" t="s">
        <v>24</v>
      </c>
      <c r="D2" s="23" t="s">
        <v>25</v>
      </c>
      <c r="E2" s="6" t="s">
        <v>26</v>
      </c>
      <c r="F2" s="6" t="s">
        <v>27</v>
      </c>
      <c r="G2" s="20">
        <v>46059</v>
      </c>
      <c r="H2" s="48">
        <v>46062</v>
      </c>
      <c r="I2" s="48">
        <v>46063</v>
      </c>
      <c r="J2" s="48">
        <v>46064</v>
      </c>
      <c r="K2" s="48">
        <v>46065</v>
      </c>
      <c r="L2" s="48">
        <v>46066</v>
      </c>
      <c r="M2" s="48">
        <v>46069</v>
      </c>
      <c r="N2" s="48">
        <v>46070</v>
      </c>
      <c r="O2" s="48">
        <v>46071</v>
      </c>
      <c r="P2" s="48">
        <v>46072</v>
      </c>
      <c r="Q2" s="48">
        <v>46073</v>
      </c>
      <c r="R2" s="48">
        <v>46076</v>
      </c>
      <c r="S2" s="48">
        <v>46077</v>
      </c>
      <c r="T2" s="48">
        <v>46078</v>
      </c>
      <c r="U2" s="48">
        <v>46079</v>
      </c>
      <c r="V2" s="48">
        <v>46080</v>
      </c>
      <c r="W2" s="48">
        <v>46083</v>
      </c>
      <c r="X2" s="48">
        <v>46084</v>
      </c>
      <c r="Y2" s="48">
        <v>46085</v>
      </c>
      <c r="Z2" s="48">
        <v>46086</v>
      </c>
      <c r="AA2" s="48">
        <v>46087</v>
      </c>
      <c r="AB2" s="21">
        <v>46090</v>
      </c>
      <c r="AC2" s="48">
        <v>46091</v>
      </c>
      <c r="AD2" s="48">
        <v>46092</v>
      </c>
      <c r="AE2" s="48">
        <v>46093</v>
      </c>
      <c r="AF2" s="48">
        <v>46094</v>
      </c>
      <c r="AG2" s="48">
        <v>46097</v>
      </c>
      <c r="AH2" s="48">
        <v>46098</v>
      </c>
      <c r="AI2" s="48">
        <v>46099</v>
      </c>
      <c r="AJ2" s="48">
        <v>46100</v>
      </c>
      <c r="AK2" s="48">
        <v>46101</v>
      </c>
      <c r="AL2" s="48">
        <v>46105</v>
      </c>
      <c r="AM2" s="48">
        <v>46106</v>
      </c>
      <c r="AN2" s="48">
        <v>46107</v>
      </c>
      <c r="AO2" s="48">
        <v>46108</v>
      </c>
      <c r="AP2" s="48">
        <v>46111</v>
      </c>
      <c r="AQ2" s="21">
        <v>46112</v>
      </c>
      <c r="AR2" s="48">
        <v>46113</v>
      </c>
      <c r="AS2" s="48">
        <v>46118</v>
      </c>
      <c r="AT2" s="48">
        <v>46119</v>
      </c>
      <c r="AU2" s="48">
        <v>46120</v>
      </c>
      <c r="AV2" s="20">
        <v>46121</v>
      </c>
      <c r="AW2" s="20">
        <v>46122</v>
      </c>
      <c r="AX2" s="70">
        <v>46125</v>
      </c>
      <c r="AY2" s="70">
        <v>46126</v>
      </c>
      <c r="AZ2" s="70">
        <v>46127</v>
      </c>
      <c r="BA2" s="70">
        <v>46128</v>
      </c>
      <c r="BB2" s="70">
        <v>46129</v>
      </c>
      <c r="BC2" s="70">
        <v>46132</v>
      </c>
      <c r="BD2" s="20">
        <v>46133</v>
      </c>
      <c r="BE2" s="20">
        <v>46134</v>
      </c>
      <c r="BF2" s="20">
        <v>46135</v>
      </c>
      <c r="BG2" s="20">
        <v>46136</v>
      </c>
      <c r="BH2" s="20">
        <v>46139</v>
      </c>
      <c r="BI2" s="20">
        <v>46140</v>
      </c>
      <c r="BJ2" s="20">
        <v>46141</v>
      </c>
      <c r="BK2" s="20">
        <v>46142</v>
      </c>
      <c r="BL2" s="20">
        <v>46146</v>
      </c>
      <c r="BM2" s="20">
        <v>46147</v>
      </c>
      <c r="BN2" s="20">
        <v>46148</v>
      </c>
      <c r="BO2" s="20">
        <v>46149</v>
      </c>
      <c r="BP2" s="20">
        <v>46150</v>
      </c>
      <c r="BQ2" s="20">
        <v>46153</v>
      </c>
      <c r="BR2" s="20">
        <v>46154</v>
      </c>
      <c r="BS2" s="20">
        <v>46155</v>
      </c>
      <c r="BT2" s="20">
        <v>46156</v>
      </c>
      <c r="BU2" s="20">
        <v>46157</v>
      </c>
      <c r="BV2" s="20">
        <v>46161</v>
      </c>
      <c r="BW2" s="20">
        <v>46162</v>
      </c>
      <c r="BX2" s="20">
        <v>46163</v>
      </c>
      <c r="BY2" s="20">
        <v>46164</v>
      </c>
      <c r="BZ2" s="20">
        <v>46167</v>
      </c>
      <c r="CA2" s="20">
        <v>46168</v>
      </c>
      <c r="CB2" s="20">
        <v>46169</v>
      </c>
    </row>
    <row r="3" spans="2:80" ht="22.5" customHeight="1">
      <c r="B3" s="45" t="s">
        <v>4</v>
      </c>
      <c r="C3" s="47" t="s">
        <v>28</v>
      </c>
      <c r="D3" s="30" t="s">
        <v>29</v>
      </c>
      <c r="E3" s="3">
        <v>8</v>
      </c>
      <c r="F3" s="3">
        <v>1</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0" t="s">
        <v>30</v>
      </c>
      <c r="BF3" s="80" t="s">
        <v>31</v>
      </c>
      <c r="BG3" s="80" t="s">
        <v>32</v>
      </c>
      <c r="BH3" s="82" t="s">
        <v>33</v>
      </c>
      <c r="BI3" s="83"/>
      <c r="BJ3" s="83"/>
      <c r="BK3" s="84"/>
      <c r="BL3" s="8"/>
      <c r="BM3" s="8"/>
      <c r="BN3" s="8"/>
      <c r="BO3" s="8"/>
      <c r="BP3" s="8"/>
      <c r="BQ3" s="8"/>
      <c r="BR3" s="80" t="s">
        <v>34</v>
      </c>
      <c r="BS3" s="8"/>
      <c r="BT3" s="8"/>
      <c r="BU3" s="8"/>
      <c r="BV3" s="8"/>
      <c r="BW3" s="8"/>
      <c r="BX3" s="8"/>
      <c r="BY3" s="8"/>
      <c r="BZ3" s="8"/>
      <c r="CA3" s="8"/>
      <c r="CB3" s="8"/>
    </row>
    <row r="4" spans="2:80" ht="25.5" customHeight="1">
      <c r="B4" s="88" t="s">
        <v>5</v>
      </c>
      <c r="C4" s="38" t="s">
        <v>35</v>
      </c>
      <c r="D4" s="30" t="s">
        <v>29</v>
      </c>
      <c r="E4" s="3">
        <v>8</v>
      </c>
      <c r="F4" s="3">
        <v>1</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0"/>
      <c r="BF4" s="80"/>
      <c r="BG4" s="80"/>
      <c r="BH4" s="82"/>
      <c r="BI4" s="83"/>
      <c r="BJ4" s="83"/>
      <c r="BK4" s="84"/>
      <c r="BL4" s="8"/>
      <c r="BM4" s="8"/>
      <c r="BN4" s="8"/>
      <c r="BO4" s="8"/>
      <c r="BP4" s="8"/>
      <c r="BQ4" s="8"/>
      <c r="BR4" s="80"/>
      <c r="BS4" s="8"/>
      <c r="BT4" s="8"/>
      <c r="BU4" s="8"/>
      <c r="BV4" s="8"/>
      <c r="BW4" s="8"/>
      <c r="BX4" s="8"/>
      <c r="BY4" s="8"/>
      <c r="BZ4" s="8"/>
      <c r="CA4" s="8"/>
      <c r="CB4" s="8"/>
    </row>
    <row r="5" spans="2:80" ht="27" customHeight="1">
      <c r="B5" s="88"/>
      <c r="C5" s="38" t="s">
        <v>36</v>
      </c>
      <c r="D5" s="30" t="s">
        <v>29</v>
      </c>
      <c r="E5" s="3">
        <v>8</v>
      </c>
      <c r="F5" s="3">
        <v>1</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0"/>
      <c r="BF5" s="80"/>
      <c r="BG5" s="80"/>
      <c r="BH5" s="82"/>
      <c r="BI5" s="83"/>
      <c r="BJ5" s="83"/>
      <c r="BK5" s="84"/>
      <c r="BL5" s="8"/>
      <c r="BM5" s="8"/>
      <c r="BN5" s="8"/>
      <c r="BO5" s="8"/>
      <c r="BP5" s="8"/>
      <c r="BQ5" s="8"/>
      <c r="BR5" s="80"/>
      <c r="BS5" s="8"/>
      <c r="BT5" s="8"/>
      <c r="BU5" s="8"/>
      <c r="BV5" s="8"/>
      <c r="BW5" s="8"/>
      <c r="BX5" s="8"/>
      <c r="BY5" s="8"/>
      <c r="BZ5" s="8"/>
      <c r="CA5" s="8"/>
      <c r="CB5" s="8"/>
    </row>
    <row r="6" spans="2:80" ht="30">
      <c r="B6" s="88"/>
      <c r="C6" s="38" t="s">
        <v>37</v>
      </c>
      <c r="D6" s="30" t="s">
        <v>29</v>
      </c>
      <c r="E6" s="3">
        <v>4</v>
      </c>
      <c r="F6" s="3">
        <v>0.5</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0"/>
      <c r="BF6" s="80"/>
      <c r="BG6" s="80"/>
      <c r="BH6" s="82"/>
      <c r="BI6" s="83"/>
      <c r="BJ6" s="83"/>
      <c r="BK6" s="84"/>
      <c r="BL6" s="8"/>
      <c r="BM6" s="8"/>
      <c r="BN6" s="8"/>
      <c r="BO6" s="8"/>
      <c r="BP6" s="8"/>
      <c r="BQ6" s="8"/>
      <c r="BR6" s="80"/>
      <c r="BS6" s="8"/>
      <c r="BT6" s="8"/>
      <c r="BU6" s="8"/>
      <c r="BV6" s="8"/>
      <c r="BW6" s="8"/>
      <c r="BX6" s="8"/>
      <c r="BY6" s="8"/>
      <c r="BZ6" s="8"/>
      <c r="CA6" s="8"/>
      <c r="CB6" s="8"/>
    </row>
    <row r="7" spans="2:80" ht="25.5" customHeight="1">
      <c r="B7" s="88"/>
      <c r="C7" s="38" t="s">
        <v>38</v>
      </c>
      <c r="D7" s="30" t="s">
        <v>29</v>
      </c>
      <c r="E7" s="3">
        <v>8</v>
      </c>
      <c r="F7" s="3">
        <v>1</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0"/>
      <c r="BF7" s="80"/>
      <c r="BG7" s="80"/>
      <c r="BH7" s="82"/>
      <c r="BI7" s="83"/>
      <c r="BJ7" s="83"/>
      <c r="BK7" s="84"/>
      <c r="BL7" s="8"/>
      <c r="BM7" s="8"/>
      <c r="BN7" s="8"/>
      <c r="BO7" s="8"/>
      <c r="BP7" s="8"/>
      <c r="BQ7" s="8"/>
      <c r="BR7" s="80"/>
      <c r="BS7" s="8"/>
      <c r="BT7" s="8"/>
      <c r="BU7" s="8"/>
      <c r="BV7" s="8"/>
      <c r="BW7" s="8"/>
      <c r="BX7" s="8"/>
      <c r="BY7" s="8"/>
      <c r="BZ7" s="8"/>
      <c r="CA7" s="8"/>
      <c r="CB7" s="8"/>
    </row>
    <row r="8" spans="2:80" ht="30" customHeight="1">
      <c r="B8" s="89"/>
      <c r="C8" s="38" t="s">
        <v>39</v>
      </c>
      <c r="D8" s="30" t="s">
        <v>29</v>
      </c>
      <c r="E8" s="3">
        <v>8</v>
      </c>
      <c r="F8" s="3">
        <v>1</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0"/>
      <c r="BF8" s="80"/>
      <c r="BG8" s="80"/>
      <c r="BH8" s="82"/>
      <c r="BI8" s="83"/>
      <c r="BJ8" s="83"/>
      <c r="BK8" s="84"/>
      <c r="BL8" s="8"/>
      <c r="BM8" s="8"/>
      <c r="BN8" s="8"/>
      <c r="BO8" s="8"/>
      <c r="BP8" s="8"/>
      <c r="BQ8" s="8"/>
      <c r="BR8" s="80"/>
      <c r="BS8" s="8"/>
      <c r="BT8" s="8"/>
      <c r="BU8" s="8"/>
      <c r="BV8" s="8"/>
      <c r="BW8" s="8"/>
      <c r="BX8" s="8"/>
      <c r="BY8" s="8"/>
      <c r="BZ8" s="8"/>
      <c r="CA8" s="8"/>
      <c r="CB8" s="8"/>
    </row>
    <row r="9" spans="2:80" ht="27" customHeight="1">
      <c r="B9" s="88" t="s">
        <v>8</v>
      </c>
      <c r="C9" s="37" t="s">
        <v>40</v>
      </c>
      <c r="D9" s="30" t="s">
        <v>29</v>
      </c>
      <c r="E9" s="3">
        <v>12</v>
      </c>
      <c r="F9" s="3">
        <v>1.5</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0"/>
      <c r="BF9" s="80"/>
      <c r="BG9" s="80"/>
      <c r="BH9" s="82"/>
      <c r="BI9" s="83"/>
      <c r="BJ9" s="83"/>
      <c r="BK9" s="84"/>
      <c r="BL9" s="8"/>
      <c r="BM9" s="8"/>
      <c r="BN9" s="8"/>
      <c r="BO9" s="8"/>
      <c r="BP9" s="8"/>
      <c r="BQ9" s="8"/>
      <c r="BR9" s="80"/>
      <c r="BS9" s="8"/>
      <c r="BT9" s="8"/>
      <c r="BU9" s="8"/>
      <c r="BV9" s="8"/>
      <c r="BW9" s="8"/>
      <c r="BX9" s="8"/>
      <c r="BY9" s="8"/>
      <c r="BZ9" s="8"/>
      <c r="CA9" s="8"/>
      <c r="CB9" s="8"/>
    </row>
    <row r="10" spans="2:80" ht="25.5" customHeight="1">
      <c r="B10" s="88"/>
      <c r="C10" s="47" t="s">
        <v>41</v>
      </c>
      <c r="D10" s="30" t="s">
        <v>29</v>
      </c>
      <c r="E10" s="3">
        <v>10</v>
      </c>
      <c r="F10" s="3">
        <v>1.25</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0"/>
      <c r="BF10" s="80"/>
      <c r="BG10" s="80"/>
      <c r="BH10" s="82"/>
      <c r="BI10" s="83"/>
      <c r="BJ10" s="83"/>
      <c r="BK10" s="84"/>
      <c r="BL10" s="8"/>
      <c r="BM10" s="8"/>
      <c r="BN10" s="8"/>
      <c r="BO10" s="8"/>
      <c r="BP10" s="8"/>
      <c r="BQ10" s="8"/>
      <c r="BR10" s="80"/>
      <c r="BS10" s="8"/>
      <c r="BT10" s="8"/>
      <c r="BU10" s="8"/>
      <c r="BV10" s="8"/>
      <c r="BW10" s="8"/>
      <c r="BX10" s="8"/>
      <c r="BY10" s="8"/>
      <c r="BZ10" s="8"/>
      <c r="CA10" s="8"/>
      <c r="CB10" s="8"/>
    </row>
    <row r="11" spans="2:80" ht="25.5" customHeight="1">
      <c r="B11" s="88"/>
      <c r="C11" s="38" t="s">
        <v>42</v>
      </c>
      <c r="D11" s="30" t="s">
        <v>29</v>
      </c>
      <c r="E11" s="3">
        <v>8</v>
      </c>
      <c r="F11" s="3">
        <v>1</v>
      </c>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0"/>
      <c r="BF11" s="80"/>
      <c r="BG11" s="80"/>
      <c r="BH11" s="82"/>
      <c r="BI11" s="83"/>
      <c r="BJ11" s="83"/>
      <c r="BK11" s="84"/>
      <c r="BL11" s="8"/>
      <c r="BM11" s="8"/>
      <c r="BN11" s="8"/>
      <c r="BO11" s="8"/>
      <c r="BP11" s="8"/>
      <c r="BQ11" s="8"/>
      <c r="BR11" s="80"/>
      <c r="BS11" s="8"/>
      <c r="BT11" s="8"/>
      <c r="BU11" s="8"/>
      <c r="BV11" s="8"/>
      <c r="BW11" s="8"/>
      <c r="BX11" s="8"/>
      <c r="BY11" s="8"/>
      <c r="BZ11" s="8"/>
      <c r="CA11" s="8"/>
      <c r="CB11" s="8"/>
    </row>
    <row r="12" spans="2:80" ht="30">
      <c r="B12" s="88"/>
      <c r="C12" s="38" t="s">
        <v>43</v>
      </c>
      <c r="D12" s="30" t="s">
        <v>29</v>
      </c>
      <c r="E12" s="3">
        <v>10</v>
      </c>
      <c r="F12" s="3">
        <v>1.25</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0"/>
      <c r="BF12" s="80"/>
      <c r="BG12" s="80"/>
      <c r="BH12" s="82"/>
      <c r="BI12" s="83"/>
      <c r="BJ12" s="83"/>
      <c r="BK12" s="84"/>
      <c r="BL12" s="8"/>
      <c r="BM12" s="8"/>
      <c r="BN12" s="8"/>
      <c r="BO12" s="8"/>
      <c r="BP12" s="8"/>
      <c r="BQ12" s="8"/>
      <c r="BR12" s="80"/>
      <c r="BS12" s="8"/>
      <c r="BT12" s="8"/>
      <c r="BU12" s="8"/>
      <c r="BV12" s="8"/>
      <c r="BW12" s="8"/>
      <c r="BX12" s="8"/>
      <c r="BY12" s="8"/>
      <c r="BZ12" s="8"/>
      <c r="CA12" s="8"/>
      <c r="CB12" s="8"/>
    </row>
    <row r="13" spans="2:80" ht="24" customHeight="1">
      <c r="B13" s="89"/>
      <c r="C13" s="38" t="s">
        <v>44</v>
      </c>
      <c r="D13" s="30" t="s">
        <v>29</v>
      </c>
      <c r="E13" s="3">
        <v>6</v>
      </c>
      <c r="F13" s="3">
        <v>0.75</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0"/>
      <c r="BF13" s="80"/>
      <c r="BG13" s="80"/>
      <c r="BH13" s="82"/>
      <c r="BI13" s="83"/>
      <c r="BJ13" s="83"/>
      <c r="BK13" s="84"/>
      <c r="BL13" s="8"/>
      <c r="BM13" s="8"/>
      <c r="BN13" s="8"/>
      <c r="BO13" s="8"/>
      <c r="BP13" s="8"/>
      <c r="BQ13" s="8"/>
      <c r="BR13" s="80"/>
      <c r="BS13" s="8"/>
      <c r="BT13" s="8"/>
      <c r="BU13" s="8"/>
      <c r="BV13" s="8"/>
      <c r="BW13" s="8"/>
      <c r="BX13" s="8"/>
      <c r="BY13" s="8"/>
      <c r="BZ13" s="8"/>
      <c r="CA13" s="8"/>
      <c r="CB13" s="8"/>
    </row>
    <row r="14" spans="2:80" ht="28.5" customHeight="1">
      <c r="B14" s="91" t="s">
        <v>11</v>
      </c>
      <c r="C14" s="38" t="s">
        <v>45</v>
      </c>
      <c r="D14" s="30" t="s">
        <v>29</v>
      </c>
      <c r="E14" s="3">
        <v>10</v>
      </c>
      <c r="F14" s="3">
        <v>1.25</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0"/>
      <c r="BF14" s="80"/>
      <c r="BG14" s="80"/>
      <c r="BH14" s="82"/>
      <c r="BI14" s="83"/>
      <c r="BJ14" s="83"/>
      <c r="BK14" s="84"/>
      <c r="BL14" s="8"/>
      <c r="BM14" s="8"/>
      <c r="BN14" s="8"/>
      <c r="BO14" s="8"/>
      <c r="BP14" s="8"/>
      <c r="BQ14" s="8"/>
      <c r="BR14" s="80"/>
      <c r="BS14" s="8"/>
      <c r="BT14" s="8"/>
      <c r="BU14" s="8"/>
      <c r="BV14" s="8"/>
      <c r="BW14" s="8"/>
      <c r="BX14" s="8"/>
      <c r="BY14" s="8"/>
      <c r="BZ14" s="8"/>
      <c r="CA14" s="8"/>
      <c r="CB14" s="8"/>
    </row>
    <row r="15" spans="2:80" ht="30">
      <c r="B15" s="91"/>
      <c r="C15" s="38" t="s">
        <v>46</v>
      </c>
      <c r="D15" s="30" t="s">
        <v>29</v>
      </c>
      <c r="E15" s="3">
        <v>12</v>
      </c>
      <c r="F15" s="3">
        <v>1.5</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0"/>
      <c r="BF15" s="80"/>
      <c r="BG15" s="80"/>
      <c r="BH15" s="82"/>
      <c r="BI15" s="83"/>
      <c r="BJ15" s="83"/>
      <c r="BK15" s="84"/>
      <c r="BL15" s="8"/>
      <c r="BM15" s="8"/>
      <c r="BN15" s="8"/>
      <c r="BO15" s="8"/>
      <c r="BP15" s="8"/>
      <c r="BQ15" s="8"/>
      <c r="BR15" s="80"/>
      <c r="BS15" s="8"/>
      <c r="BT15" s="8"/>
      <c r="BU15" s="8"/>
      <c r="BV15" s="8"/>
      <c r="BW15" s="8"/>
      <c r="BX15" s="8"/>
      <c r="BY15" s="8"/>
      <c r="BZ15" s="8"/>
      <c r="CA15" s="8"/>
      <c r="CB15" s="8"/>
    </row>
    <row r="16" spans="2:80" ht="33.75" customHeight="1">
      <c r="B16" s="92"/>
      <c r="C16" s="38" t="s">
        <v>47</v>
      </c>
      <c r="D16" s="30" t="s">
        <v>29</v>
      </c>
      <c r="E16" s="3">
        <v>8</v>
      </c>
      <c r="F16" s="3">
        <v>1</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0"/>
      <c r="BF16" s="80"/>
      <c r="BG16" s="80"/>
      <c r="BH16" s="82"/>
      <c r="BI16" s="83"/>
      <c r="BJ16" s="83"/>
      <c r="BK16" s="84"/>
      <c r="BL16" s="8"/>
      <c r="BM16" s="8"/>
      <c r="BN16" s="8"/>
      <c r="BO16" s="8"/>
      <c r="BP16" s="8"/>
      <c r="BQ16" s="8"/>
      <c r="BR16" s="80"/>
      <c r="BS16" s="8"/>
      <c r="BT16" s="8"/>
      <c r="BU16" s="8"/>
      <c r="BV16" s="8"/>
      <c r="BW16" s="8"/>
      <c r="BX16" s="8"/>
      <c r="BY16" s="8"/>
      <c r="BZ16" s="8"/>
      <c r="CA16" s="8"/>
      <c r="CB16" s="8"/>
    </row>
    <row r="17" spans="2:80" ht="27" customHeight="1">
      <c r="B17" s="88" t="s">
        <v>14</v>
      </c>
      <c r="C17" s="38" t="s">
        <v>48</v>
      </c>
      <c r="D17" s="30" t="s">
        <v>29</v>
      </c>
      <c r="E17" s="3">
        <v>24</v>
      </c>
      <c r="F17" s="3">
        <v>3</v>
      </c>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0"/>
      <c r="BF17" s="80"/>
      <c r="BG17" s="80"/>
      <c r="BH17" s="82"/>
      <c r="BI17" s="83"/>
      <c r="BJ17" s="83"/>
      <c r="BK17" s="84"/>
      <c r="BL17" s="8"/>
      <c r="BM17" s="8"/>
      <c r="BN17" s="8"/>
      <c r="BO17" s="8"/>
      <c r="BP17" s="8"/>
      <c r="BQ17" s="8"/>
      <c r="BR17" s="80"/>
      <c r="BS17" s="8"/>
      <c r="BT17" s="8"/>
      <c r="BU17" s="8"/>
      <c r="BV17" s="8"/>
      <c r="BW17" s="8"/>
      <c r="BX17" s="8"/>
      <c r="BY17" s="8"/>
      <c r="BZ17" s="8"/>
      <c r="CA17" s="8"/>
      <c r="CB17" s="8"/>
    </row>
    <row r="18" spans="2:80" ht="30" customHeight="1">
      <c r="B18" s="88"/>
      <c r="C18" s="38" t="s">
        <v>49</v>
      </c>
      <c r="D18" s="30" t="s">
        <v>29</v>
      </c>
      <c r="E18" s="3">
        <v>16</v>
      </c>
      <c r="F18" s="3">
        <v>2</v>
      </c>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0"/>
      <c r="BF18" s="80"/>
      <c r="BG18" s="80"/>
      <c r="BH18" s="82"/>
      <c r="BI18" s="83"/>
      <c r="BJ18" s="83"/>
      <c r="BK18" s="84"/>
      <c r="BL18" s="8"/>
      <c r="BM18" s="8"/>
      <c r="BN18" s="8"/>
      <c r="BO18" s="8"/>
      <c r="BP18" s="8"/>
      <c r="BQ18" s="8"/>
      <c r="BR18" s="80"/>
      <c r="BS18" s="8"/>
      <c r="BT18" s="8"/>
      <c r="BU18" s="8"/>
      <c r="BV18" s="8"/>
      <c r="BW18" s="8"/>
      <c r="BX18" s="8"/>
      <c r="BY18" s="8"/>
      <c r="BZ18" s="8"/>
      <c r="CA18" s="8"/>
      <c r="CB18" s="8"/>
    </row>
    <row r="19" spans="2:80" ht="25.5" customHeight="1">
      <c r="B19" s="89"/>
      <c r="C19" s="38" t="s">
        <v>50</v>
      </c>
      <c r="D19" s="30" t="s">
        <v>29</v>
      </c>
      <c r="E19" s="3">
        <v>12</v>
      </c>
      <c r="F19" s="3">
        <v>1.5</v>
      </c>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0"/>
      <c r="BF19" s="80"/>
      <c r="BG19" s="80"/>
      <c r="BH19" s="82"/>
      <c r="BI19" s="83"/>
      <c r="BJ19" s="83"/>
      <c r="BK19" s="84"/>
      <c r="BL19" s="8"/>
      <c r="BM19" s="8"/>
      <c r="BN19" s="8"/>
      <c r="BO19" s="8"/>
      <c r="BP19" s="8"/>
      <c r="BQ19" s="8"/>
      <c r="BR19" s="80"/>
      <c r="BS19" s="8"/>
      <c r="BT19" s="8"/>
      <c r="BU19" s="8"/>
      <c r="BV19" s="8"/>
      <c r="BW19" s="8"/>
      <c r="BX19" s="8"/>
      <c r="BY19" s="8"/>
      <c r="BZ19" s="8"/>
      <c r="CA19" s="8"/>
      <c r="CB19" s="8"/>
    </row>
    <row r="20" spans="2:80" ht="28.5" customHeight="1">
      <c r="B20" s="88" t="s">
        <v>16</v>
      </c>
      <c r="C20" s="38" t="s">
        <v>51</v>
      </c>
      <c r="D20" s="30" t="s">
        <v>29</v>
      </c>
      <c r="E20" s="3">
        <v>24</v>
      </c>
      <c r="F20" s="3">
        <v>3</v>
      </c>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0"/>
      <c r="BF20" s="80"/>
      <c r="BG20" s="80"/>
      <c r="BH20" s="82"/>
      <c r="BI20" s="83"/>
      <c r="BJ20" s="83"/>
      <c r="BK20" s="84"/>
      <c r="BL20" s="8"/>
      <c r="BM20" s="8"/>
      <c r="BN20" s="8"/>
      <c r="BO20" s="8"/>
      <c r="BP20" s="8"/>
      <c r="BQ20" s="8"/>
      <c r="BR20" s="80"/>
      <c r="BS20" s="8"/>
      <c r="BT20" s="8"/>
      <c r="BU20" s="8"/>
      <c r="BV20" s="8"/>
      <c r="BW20" s="8"/>
      <c r="BX20" s="8"/>
      <c r="BY20" s="8"/>
      <c r="BZ20" s="8"/>
      <c r="CA20" s="8"/>
      <c r="CB20" s="8"/>
    </row>
    <row r="21" spans="2:80" ht="28.5" customHeight="1">
      <c r="B21" s="88"/>
      <c r="C21" s="38" t="s">
        <v>52</v>
      </c>
      <c r="D21" s="30" t="s">
        <v>29</v>
      </c>
      <c r="E21" s="3">
        <v>12</v>
      </c>
      <c r="F21" s="3">
        <v>1.5</v>
      </c>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0"/>
      <c r="BF21" s="80"/>
      <c r="BG21" s="80"/>
      <c r="BH21" s="82"/>
      <c r="BI21" s="83"/>
      <c r="BJ21" s="83"/>
      <c r="BK21" s="84"/>
      <c r="BL21" s="8"/>
      <c r="BM21" s="8"/>
      <c r="BN21" s="8"/>
      <c r="BO21" s="8"/>
      <c r="BP21" s="8"/>
      <c r="BQ21" s="8"/>
      <c r="BR21" s="80"/>
      <c r="BS21" s="8"/>
      <c r="BT21" s="8"/>
      <c r="BU21" s="8"/>
      <c r="BV21" s="8"/>
      <c r="BW21" s="8"/>
      <c r="BX21" s="8"/>
      <c r="BY21" s="8"/>
      <c r="BZ21" s="8"/>
      <c r="CA21" s="8"/>
      <c r="CB21" s="8"/>
    </row>
    <row r="22" spans="2:80" ht="28.5" customHeight="1">
      <c r="B22" s="88"/>
      <c r="C22" s="38" t="s">
        <v>50</v>
      </c>
      <c r="D22" s="30" t="s">
        <v>29</v>
      </c>
      <c r="E22" s="3">
        <v>8</v>
      </c>
      <c r="F22" s="3">
        <v>1</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0"/>
      <c r="BF22" s="80"/>
      <c r="BG22" s="80"/>
      <c r="BH22" s="82"/>
      <c r="BI22" s="83"/>
      <c r="BJ22" s="83"/>
      <c r="BK22" s="84"/>
      <c r="BL22" s="8"/>
      <c r="BM22" s="8"/>
      <c r="BN22" s="8"/>
      <c r="BO22" s="8"/>
      <c r="BP22" s="8"/>
      <c r="BQ22" s="8"/>
      <c r="BR22" s="80"/>
      <c r="BS22" s="8"/>
      <c r="BT22" s="8"/>
      <c r="BU22" s="8"/>
      <c r="BV22" s="8"/>
      <c r="BW22" s="8"/>
      <c r="BX22" s="8"/>
      <c r="BY22" s="8"/>
      <c r="BZ22" s="8"/>
      <c r="CA22" s="8"/>
      <c r="CB22" s="8"/>
    </row>
    <row r="23" spans="2:80" ht="27" customHeight="1">
      <c r="B23" s="89"/>
      <c r="C23" s="38" t="s">
        <v>53</v>
      </c>
      <c r="D23" s="30" t="s">
        <v>29</v>
      </c>
      <c r="E23" s="3">
        <v>4</v>
      </c>
      <c r="F23" s="3">
        <v>0.5</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0"/>
      <c r="BF23" s="80"/>
      <c r="BG23" s="80"/>
      <c r="BH23" s="82"/>
      <c r="BI23" s="83"/>
      <c r="BJ23" s="83"/>
      <c r="BK23" s="84"/>
      <c r="BL23" s="8"/>
      <c r="BM23" s="8"/>
      <c r="BN23" s="8"/>
      <c r="BO23" s="8"/>
      <c r="BP23" s="8"/>
      <c r="BQ23" s="8"/>
      <c r="BR23" s="80"/>
      <c r="BS23" s="8"/>
      <c r="BT23" s="8"/>
      <c r="BU23" s="8"/>
      <c r="BV23" s="8"/>
      <c r="BW23" s="8"/>
      <c r="BX23" s="8"/>
      <c r="BY23" s="8"/>
      <c r="BZ23" s="8"/>
      <c r="CA23" s="8"/>
      <c r="CB23" s="8"/>
    </row>
    <row r="24" spans="2:80" ht="27" customHeight="1">
      <c r="B24" s="88" t="s">
        <v>18</v>
      </c>
      <c r="C24" s="38" t="s">
        <v>54</v>
      </c>
      <c r="D24" s="30" t="s">
        <v>29</v>
      </c>
      <c r="E24" s="3">
        <v>24</v>
      </c>
      <c r="F24" s="3">
        <v>3</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0"/>
      <c r="BF24" s="80"/>
      <c r="BG24" s="80"/>
      <c r="BH24" s="82"/>
      <c r="BI24" s="83"/>
      <c r="BJ24" s="83"/>
      <c r="BK24" s="84"/>
      <c r="BL24" s="8"/>
      <c r="BM24" s="8"/>
      <c r="BN24" s="8"/>
      <c r="BO24" s="8"/>
      <c r="BP24" s="8"/>
      <c r="BQ24" s="8"/>
      <c r="BR24" s="80"/>
      <c r="BS24" s="8"/>
      <c r="BT24" s="8"/>
      <c r="BU24" s="8"/>
      <c r="BV24" s="8"/>
      <c r="BW24" s="8"/>
      <c r="BX24" s="8"/>
      <c r="BY24" s="8"/>
      <c r="BZ24" s="8"/>
      <c r="CA24" s="8"/>
      <c r="CB24" s="8"/>
    </row>
    <row r="25" spans="2:80" ht="24" customHeight="1">
      <c r="B25" s="88"/>
      <c r="C25" s="38" t="s">
        <v>52</v>
      </c>
      <c r="D25" s="30" t="s">
        <v>29</v>
      </c>
      <c r="E25" s="3">
        <v>16</v>
      </c>
      <c r="F25" s="3">
        <v>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0"/>
      <c r="BF25" s="80"/>
      <c r="BG25" s="80"/>
      <c r="BH25" s="82"/>
      <c r="BI25" s="83"/>
      <c r="BJ25" s="83"/>
      <c r="BK25" s="84"/>
      <c r="BL25" s="8"/>
      <c r="BM25" s="8"/>
      <c r="BN25" s="8"/>
      <c r="BO25" s="8"/>
      <c r="BP25" s="8"/>
      <c r="BQ25" s="8"/>
      <c r="BR25" s="80"/>
      <c r="BS25" s="8"/>
      <c r="BT25" s="8"/>
      <c r="BU25" s="8"/>
      <c r="BV25" s="8"/>
      <c r="BW25" s="8"/>
      <c r="BX25" s="8"/>
      <c r="BY25" s="8"/>
      <c r="BZ25" s="8"/>
      <c r="CA25" s="8"/>
      <c r="CB25" s="8"/>
    </row>
    <row r="26" spans="2:80" ht="27" customHeight="1">
      <c r="B26" s="89"/>
      <c r="C26" s="38" t="s">
        <v>50</v>
      </c>
      <c r="D26" s="30" t="s">
        <v>29</v>
      </c>
      <c r="E26" s="3">
        <v>12</v>
      </c>
      <c r="F26" s="3">
        <v>1.5</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0"/>
      <c r="BF26" s="80"/>
      <c r="BG26" s="80"/>
      <c r="BH26" s="82"/>
      <c r="BI26" s="83"/>
      <c r="BJ26" s="83"/>
      <c r="BK26" s="84"/>
      <c r="BL26" s="8"/>
      <c r="BM26" s="8"/>
      <c r="BN26" s="8"/>
      <c r="BO26" s="8"/>
      <c r="BP26" s="8"/>
      <c r="BQ26" s="8"/>
      <c r="BR26" s="80"/>
      <c r="BS26" s="8"/>
      <c r="BT26" s="8"/>
      <c r="BU26" s="8"/>
      <c r="BV26" s="8"/>
      <c r="BW26" s="8"/>
      <c r="BX26" s="8"/>
      <c r="BY26" s="8"/>
      <c r="BZ26" s="8"/>
      <c r="CA26" s="8"/>
      <c r="CB26" s="8"/>
    </row>
    <row r="27" spans="2:80" ht="27" customHeight="1">
      <c r="B27" s="88" t="s">
        <v>19</v>
      </c>
      <c r="C27" s="38" t="s">
        <v>55</v>
      </c>
      <c r="D27" s="30" t="s">
        <v>29</v>
      </c>
      <c r="E27" s="3">
        <v>20</v>
      </c>
      <c r="F27" s="3">
        <v>2.5</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0"/>
      <c r="BF27" s="80"/>
      <c r="BG27" s="80"/>
      <c r="BH27" s="82"/>
      <c r="BI27" s="83"/>
      <c r="BJ27" s="83"/>
      <c r="BK27" s="84"/>
      <c r="BL27" s="8"/>
      <c r="BM27" s="8"/>
      <c r="BN27" s="8"/>
      <c r="BO27" s="8"/>
      <c r="BP27" s="8"/>
      <c r="BQ27" s="8"/>
      <c r="BR27" s="80"/>
      <c r="BS27" s="8"/>
      <c r="BT27" s="8"/>
      <c r="BU27" s="8"/>
      <c r="BV27" s="8"/>
      <c r="BW27" s="8"/>
      <c r="BX27" s="8"/>
      <c r="BY27" s="8"/>
      <c r="BZ27" s="8"/>
      <c r="CA27" s="8"/>
      <c r="CB27" s="8"/>
    </row>
    <row r="28" spans="2:80" ht="30" customHeight="1">
      <c r="B28" s="88"/>
      <c r="C28" s="38" t="s">
        <v>52</v>
      </c>
      <c r="D28" s="30" t="s">
        <v>29</v>
      </c>
      <c r="E28" s="3">
        <v>8</v>
      </c>
      <c r="F28" s="3">
        <v>1</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0"/>
      <c r="BF28" s="80"/>
      <c r="BG28" s="80"/>
      <c r="BH28" s="82"/>
      <c r="BI28" s="83"/>
      <c r="BJ28" s="83"/>
      <c r="BK28" s="84"/>
      <c r="BL28" s="8"/>
      <c r="BM28" s="8"/>
      <c r="BN28" s="8"/>
      <c r="BO28" s="8"/>
      <c r="BP28" s="8"/>
      <c r="BQ28" s="8"/>
      <c r="BR28" s="80"/>
      <c r="BS28" s="8"/>
      <c r="BT28" s="8"/>
      <c r="BU28" s="8"/>
      <c r="BV28" s="8"/>
      <c r="BW28" s="8"/>
      <c r="BX28" s="8"/>
      <c r="BY28" s="8"/>
      <c r="BZ28" s="8"/>
      <c r="CA28" s="8"/>
      <c r="CB28" s="8"/>
    </row>
    <row r="29" spans="2:80" ht="27" customHeight="1">
      <c r="B29" s="89"/>
      <c r="C29" s="38" t="s">
        <v>50</v>
      </c>
      <c r="D29" s="30" t="s">
        <v>29</v>
      </c>
      <c r="E29" s="3">
        <v>8</v>
      </c>
      <c r="F29" s="3">
        <v>1</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0"/>
      <c r="BF29" s="80"/>
      <c r="BG29" s="80"/>
      <c r="BH29" s="82"/>
      <c r="BI29" s="83"/>
      <c r="BJ29" s="83"/>
      <c r="BK29" s="84"/>
      <c r="BL29" s="8"/>
      <c r="BM29" s="8"/>
      <c r="BN29" s="8"/>
      <c r="BO29" s="8"/>
      <c r="BP29" s="8"/>
      <c r="BQ29" s="8"/>
      <c r="BR29" s="80"/>
      <c r="BS29" s="8"/>
      <c r="BT29" s="8"/>
      <c r="BU29" s="8"/>
      <c r="BV29" s="8"/>
      <c r="BW29" s="8"/>
      <c r="BX29" s="8"/>
      <c r="BY29" s="8"/>
      <c r="BZ29" s="8"/>
      <c r="CA29" s="8"/>
      <c r="CB29" s="8"/>
    </row>
    <row r="30" spans="2:80" ht="28.5" customHeight="1">
      <c r="B30" s="88" t="s">
        <v>21</v>
      </c>
      <c r="C30" s="38" t="s">
        <v>56</v>
      </c>
      <c r="D30" s="30" t="s">
        <v>29</v>
      </c>
      <c r="E30" s="3">
        <v>6</v>
      </c>
      <c r="F30" s="3">
        <v>0.75</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73"/>
      <c r="AZ30" s="8"/>
      <c r="BA30" s="8"/>
      <c r="BB30" s="8"/>
      <c r="BC30" s="8"/>
      <c r="BD30" s="8"/>
      <c r="BE30" s="80"/>
      <c r="BF30" s="80"/>
      <c r="BG30" s="80"/>
      <c r="BH30" s="82"/>
      <c r="BI30" s="83"/>
      <c r="BJ30" s="83"/>
      <c r="BK30" s="84"/>
      <c r="BL30" s="8"/>
      <c r="BM30" s="8"/>
      <c r="BN30" s="8"/>
      <c r="BO30" s="8"/>
      <c r="BP30" s="8"/>
      <c r="BQ30" s="8"/>
      <c r="BR30" s="80"/>
      <c r="BS30" s="8"/>
      <c r="BT30" s="8"/>
      <c r="BU30" s="8"/>
      <c r="BV30" s="8"/>
      <c r="BW30" s="8"/>
      <c r="BX30" s="8"/>
      <c r="BY30" s="8"/>
      <c r="BZ30" s="8"/>
      <c r="CA30" s="8"/>
      <c r="CB30" s="8"/>
    </row>
    <row r="31" spans="2:80" ht="30">
      <c r="B31" s="88"/>
      <c r="C31" s="38" t="s">
        <v>57</v>
      </c>
      <c r="D31" s="30" t="s">
        <v>29</v>
      </c>
      <c r="E31" s="3">
        <v>16</v>
      </c>
      <c r="F31" s="3">
        <v>2</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0"/>
      <c r="BF31" s="80"/>
      <c r="BG31" s="80"/>
      <c r="BH31" s="82"/>
      <c r="BI31" s="83"/>
      <c r="BJ31" s="83"/>
      <c r="BK31" s="84"/>
      <c r="BL31" s="8"/>
      <c r="BM31" s="8"/>
      <c r="BN31" s="8"/>
      <c r="BO31" s="8"/>
      <c r="BP31" s="8"/>
      <c r="BQ31" s="8"/>
      <c r="BR31" s="80"/>
      <c r="BS31" s="8"/>
      <c r="BT31" s="8"/>
      <c r="BU31" s="8"/>
      <c r="BV31" s="8"/>
      <c r="BW31" s="8"/>
      <c r="BX31" s="8"/>
      <c r="BY31" s="8"/>
      <c r="BZ31" s="8"/>
      <c r="CA31" s="8"/>
      <c r="CB31" s="8"/>
    </row>
    <row r="32" spans="2:80" ht="28.5" customHeight="1">
      <c r="B32" s="89"/>
      <c r="C32" s="38" t="s">
        <v>58</v>
      </c>
      <c r="D32" s="30" t="s">
        <v>29</v>
      </c>
      <c r="E32" s="3">
        <v>24</v>
      </c>
      <c r="F32" s="3">
        <v>3</v>
      </c>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0"/>
      <c r="BF32" s="80"/>
      <c r="BG32" s="80"/>
      <c r="BH32" s="82"/>
      <c r="BI32" s="83"/>
      <c r="BJ32" s="83"/>
      <c r="BK32" s="84"/>
      <c r="BL32" s="8"/>
      <c r="BM32" s="8"/>
      <c r="BN32" s="8"/>
      <c r="BO32" s="8"/>
      <c r="BP32" s="8"/>
      <c r="BQ32" s="8"/>
      <c r="BR32" s="80"/>
      <c r="BS32" s="8"/>
      <c r="BT32" s="8"/>
      <c r="BU32" s="8"/>
      <c r="BV32" s="8"/>
      <c r="BW32" s="8"/>
      <c r="BX32" s="8"/>
      <c r="BY32" s="8"/>
      <c r="BZ32" s="8"/>
      <c r="CA32" s="8"/>
      <c r="CB32" s="8"/>
    </row>
    <row r="33" spans="2:80" ht="28.5" customHeight="1">
      <c r="B33" s="46" t="s">
        <v>22</v>
      </c>
      <c r="C33" s="38" t="s">
        <v>59</v>
      </c>
      <c r="D33" s="30" t="s">
        <v>29</v>
      </c>
      <c r="E33" s="3">
        <v>16</v>
      </c>
      <c r="F33" s="3">
        <v>2</v>
      </c>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0"/>
      <c r="BF33" s="80"/>
      <c r="BG33" s="80"/>
      <c r="BH33" s="82"/>
      <c r="BI33" s="83"/>
      <c r="BJ33" s="83"/>
      <c r="BK33" s="84"/>
      <c r="BL33" s="8"/>
      <c r="BM33" s="8"/>
      <c r="BN33" s="8"/>
      <c r="BO33" s="8"/>
      <c r="BP33" s="8"/>
      <c r="BQ33" s="8"/>
      <c r="BR33" s="80"/>
      <c r="BS33" s="8"/>
      <c r="BT33" s="8"/>
      <c r="BU33" s="8"/>
      <c r="BV33" s="8"/>
      <c r="BW33" s="8"/>
      <c r="BX33" s="8"/>
      <c r="BY33" s="8"/>
      <c r="BZ33" s="8"/>
      <c r="CA33" s="8"/>
      <c r="CB33" s="8"/>
    </row>
    <row r="34" spans="2:80" ht="28.5" customHeight="1">
      <c r="B34" s="90" t="s">
        <v>13</v>
      </c>
      <c r="C34" s="38" t="s">
        <v>60</v>
      </c>
      <c r="D34" s="30" t="s">
        <v>29</v>
      </c>
      <c r="E34" s="3">
        <v>16</v>
      </c>
      <c r="F34" s="3">
        <v>2</v>
      </c>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0"/>
      <c r="BF34" s="80"/>
      <c r="BG34" s="80"/>
      <c r="BH34" s="82"/>
      <c r="BI34" s="83"/>
      <c r="BJ34" s="83"/>
      <c r="BK34" s="84"/>
      <c r="BL34" s="8"/>
      <c r="BM34" s="8"/>
      <c r="BN34" s="8"/>
      <c r="BO34" s="8"/>
      <c r="BP34" s="8"/>
      <c r="BQ34" s="8"/>
      <c r="BR34" s="80"/>
      <c r="BS34" s="8"/>
      <c r="BT34" s="8"/>
      <c r="BU34" s="8"/>
      <c r="BV34" s="8"/>
      <c r="BW34" s="8"/>
      <c r="BX34" s="8"/>
      <c r="BY34" s="8"/>
      <c r="BZ34" s="8"/>
      <c r="CA34" s="8"/>
      <c r="CB34" s="8"/>
    </row>
    <row r="35" spans="2:80" ht="30" customHeight="1">
      <c r="B35" s="88"/>
      <c r="C35" s="38" t="s">
        <v>61</v>
      </c>
      <c r="D35" s="33" t="s">
        <v>62</v>
      </c>
      <c r="E35" s="3">
        <v>8</v>
      </c>
      <c r="F35" s="3">
        <v>1</v>
      </c>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0"/>
      <c r="BF35" s="80"/>
      <c r="BG35" s="80"/>
      <c r="BH35" s="82"/>
      <c r="BI35" s="83"/>
      <c r="BJ35" s="83"/>
      <c r="BK35" s="84"/>
      <c r="BL35" s="8"/>
      <c r="BM35" s="8"/>
      <c r="BN35" s="8"/>
      <c r="BO35" s="8"/>
      <c r="BP35" s="8"/>
      <c r="BQ35" s="8"/>
      <c r="BR35" s="80"/>
      <c r="BS35" s="8"/>
      <c r="BT35" s="8"/>
      <c r="BU35" s="8"/>
      <c r="BV35" s="8"/>
      <c r="BW35" s="8"/>
      <c r="BX35" s="8"/>
      <c r="BY35" s="8"/>
      <c r="BZ35" s="8"/>
      <c r="CA35" s="8"/>
      <c r="CB35" s="8"/>
    </row>
    <row r="36" spans="2:80" ht="33" customHeight="1">
      <c r="B36" s="88"/>
      <c r="C36" s="38" t="s">
        <v>63</v>
      </c>
      <c r="D36" s="30" t="s">
        <v>29</v>
      </c>
      <c r="E36" s="3">
        <v>12</v>
      </c>
      <c r="F36" s="3">
        <v>1.5</v>
      </c>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0"/>
      <c r="BF36" s="80"/>
      <c r="BG36" s="80"/>
      <c r="BH36" s="82"/>
      <c r="BI36" s="83"/>
      <c r="BJ36" s="83"/>
      <c r="BK36" s="84"/>
      <c r="BL36" s="8"/>
      <c r="BM36" s="8"/>
      <c r="BN36" s="8"/>
      <c r="BO36" s="8"/>
      <c r="BP36" s="8"/>
      <c r="BQ36" s="8"/>
      <c r="BR36" s="80"/>
      <c r="BS36" s="8"/>
      <c r="BT36" s="8"/>
      <c r="BU36" s="8"/>
      <c r="BV36" s="8"/>
      <c r="BW36" s="8"/>
      <c r="BX36" s="8"/>
      <c r="BY36" s="8"/>
      <c r="BZ36" s="8"/>
      <c r="CA36" s="8"/>
      <c r="CB36" s="8"/>
    </row>
    <row r="37" spans="2:80" ht="30" customHeight="1">
      <c r="B37" s="88"/>
      <c r="C37" s="2" t="s">
        <v>64</v>
      </c>
      <c r="D37" s="31" t="s">
        <v>65</v>
      </c>
      <c r="E37" s="25">
        <v>2</v>
      </c>
      <c r="F37" s="3">
        <v>0.3</v>
      </c>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0"/>
      <c r="BF37" s="80"/>
      <c r="BG37" s="80"/>
      <c r="BH37" s="82"/>
      <c r="BI37" s="83"/>
      <c r="BJ37" s="83"/>
      <c r="BK37" s="84"/>
      <c r="BL37" s="8"/>
      <c r="BM37" s="8"/>
      <c r="BN37" s="8"/>
      <c r="BO37" s="8"/>
      <c r="BP37" s="8"/>
      <c r="BQ37" s="8"/>
      <c r="BR37" s="80"/>
      <c r="BS37" s="8"/>
      <c r="BT37" s="8"/>
      <c r="BU37" s="8"/>
      <c r="BV37" s="8"/>
      <c r="BW37" s="8"/>
      <c r="BX37" s="8"/>
      <c r="BY37" s="8"/>
      <c r="BZ37" s="8"/>
      <c r="CA37" s="8"/>
      <c r="CB37" s="8"/>
    </row>
    <row r="38" spans="2:80" ht="30" customHeight="1">
      <c r="B38" s="88"/>
      <c r="C38" s="2" t="s">
        <v>66</v>
      </c>
      <c r="D38" s="33" t="s">
        <v>62</v>
      </c>
      <c r="E38" s="25">
        <v>2</v>
      </c>
      <c r="F38" s="3">
        <v>0.3</v>
      </c>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0"/>
      <c r="BF38" s="80"/>
      <c r="BG38" s="80"/>
      <c r="BH38" s="82"/>
      <c r="BI38" s="83"/>
      <c r="BJ38" s="83"/>
      <c r="BK38" s="84"/>
      <c r="BL38" s="8"/>
      <c r="BM38" s="8"/>
      <c r="BN38" s="8"/>
      <c r="BO38" s="8"/>
      <c r="BP38" s="8"/>
      <c r="BQ38" s="8"/>
      <c r="BR38" s="80"/>
      <c r="BS38" s="8"/>
      <c r="BT38" s="8"/>
      <c r="BU38" s="8"/>
      <c r="BV38" s="8"/>
      <c r="BW38" s="8"/>
      <c r="BX38" s="8"/>
      <c r="BY38" s="8"/>
      <c r="BZ38" s="8"/>
      <c r="CA38" s="8"/>
      <c r="CB38" s="8"/>
    </row>
    <row r="39" spans="2:80" ht="31.5" customHeight="1">
      <c r="B39" s="88"/>
      <c r="C39" s="38" t="s">
        <v>67</v>
      </c>
      <c r="D39" s="30" t="s">
        <v>29</v>
      </c>
      <c r="E39" s="3">
        <v>40</v>
      </c>
      <c r="F39" s="3">
        <v>5</v>
      </c>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0"/>
      <c r="BF39" s="80"/>
      <c r="BG39" s="80"/>
      <c r="BH39" s="82"/>
      <c r="BI39" s="83"/>
      <c r="BJ39" s="83"/>
      <c r="BK39" s="84"/>
      <c r="BL39" s="8"/>
      <c r="BM39" s="8"/>
      <c r="BN39" s="8"/>
      <c r="BO39" s="8"/>
      <c r="BP39" s="8"/>
      <c r="BQ39" s="8"/>
      <c r="BR39" s="80"/>
      <c r="BS39" s="8"/>
      <c r="BT39" s="8"/>
      <c r="BU39" s="8"/>
      <c r="BV39" s="8"/>
      <c r="BW39" s="8"/>
      <c r="BX39" s="8"/>
      <c r="BY39" s="8"/>
      <c r="BZ39" s="8"/>
      <c r="CA39" s="8"/>
      <c r="CB39" s="8"/>
    </row>
    <row r="40" spans="2:80" ht="28.5" customHeight="1">
      <c r="B40" s="88"/>
      <c r="C40" s="28" t="s">
        <v>68</v>
      </c>
      <c r="D40" s="33" t="s">
        <v>62</v>
      </c>
      <c r="E40" s="3">
        <v>16</v>
      </c>
      <c r="F40" s="3">
        <v>2</v>
      </c>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0"/>
      <c r="BF40" s="80"/>
      <c r="BG40" s="80"/>
      <c r="BH40" s="82"/>
      <c r="BI40" s="83"/>
      <c r="BJ40" s="83"/>
      <c r="BK40" s="84"/>
      <c r="BL40" s="8"/>
      <c r="BM40" s="8"/>
      <c r="BN40" s="8"/>
      <c r="BO40" s="8"/>
      <c r="BP40" s="8"/>
      <c r="BQ40" s="8"/>
      <c r="BR40" s="80"/>
      <c r="BS40" s="8"/>
      <c r="BT40" s="8"/>
      <c r="BU40" s="8"/>
      <c r="BV40" s="8"/>
      <c r="BW40" s="8"/>
      <c r="BX40" s="8"/>
      <c r="BY40" s="8"/>
      <c r="BZ40" s="8"/>
      <c r="CA40" s="8"/>
      <c r="CB40" s="8"/>
    </row>
    <row r="41" spans="2:80" ht="28.5" customHeight="1">
      <c r="B41" s="89"/>
      <c r="C41" s="38" t="s">
        <v>69</v>
      </c>
      <c r="D41" s="30" t="s">
        <v>29</v>
      </c>
      <c r="E41" s="3">
        <v>40</v>
      </c>
      <c r="F41" s="3">
        <v>5</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81"/>
      <c r="BF41" s="81"/>
      <c r="BG41" s="81"/>
      <c r="BH41" s="85"/>
      <c r="BI41" s="86"/>
      <c r="BJ41" s="86"/>
      <c r="BK41" s="87"/>
      <c r="BL41" s="9"/>
      <c r="BM41" s="9"/>
      <c r="BN41" s="9"/>
      <c r="BO41" s="9"/>
      <c r="BP41" s="9"/>
      <c r="BQ41" s="9"/>
      <c r="BR41" s="81"/>
      <c r="BS41" s="9"/>
      <c r="BT41" s="9"/>
      <c r="BU41" s="9"/>
      <c r="BV41" s="9"/>
      <c r="BW41" s="9"/>
      <c r="BX41" s="9"/>
      <c r="BY41" s="9"/>
      <c r="BZ41" s="9"/>
      <c r="CA41" s="9"/>
      <c r="CB41" s="9"/>
    </row>
    <row r="42" spans="2:80">
      <c r="B42" s="40"/>
      <c r="C42" s="41"/>
      <c r="D42" s="42"/>
      <c r="E42" s="42"/>
      <c r="F42" s="42"/>
    </row>
    <row r="43" spans="2:80">
      <c r="B43" s="40"/>
      <c r="C43" s="41"/>
      <c r="D43" s="42"/>
      <c r="E43" s="43"/>
      <c r="F43" s="44"/>
    </row>
    <row r="47" spans="2:80" ht="27" customHeight="1">
      <c r="B47" s="26" t="s">
        <v>70</v>
      </c>
    </row>
    <row r="48" spans="2:80" ht="78" customHeight="1">
      <c r="B48" s="26" t="s">
        <v>71</v>
      </c>
    </row>
    <row r="49" spans="2:2" ht="135" customHeight="1">
      <c r="B49" s="26" t="s">
        <v>72</v>
      </c>
    </row>
  </sheetData>
  <mergeCells count="14">
    <mergeCell ref="B27:B29"/>
    <mergeCell ref="B30:B32"/>
    <mergeCell ref="B34:B41"/>
    <mergeCell ref="B17:B19"/>
    <mergeCell ref="B4:B8"/>
    <mergeCell ref="B9:B13"/>
    <mergeCell ref="B14:B16"/>
    <mergeCell ref="B20:B23"/>
    <mergeCell ref="B24:B26"/>
    <mergeCell ref="BR3:BR41"/>
    <mergeCell ref="BH3:BK41"/>
    <mergeCell ref="BG3:BG41"/>
    <mergeCell ref="BF3:BF41"/>
    <mergeCell ref="BE3:BE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A7DD-6F52-4DDB-A617-644EC3887F59}">
  <dimension ref="B2:CM36"/>
  <sheetViews>
    <sheetView showGridLines="0" workbookViewId="0">
      <pane xSplit="6" topLeftCell="BP6" activePane="topRight" state="frozen"/>
      <selection pane="topRight" activeCell="CA9" sqref="CA9"/>
    </sheetView>
  </sheetViews>
  <sheetFormatPr defaultRowHeight="15"/>
  <cols>
    <col min="2" max="2" width="31.85546875" customWidth="1"/>
    <col min="3" max="3" width="62.140625" customWidth="1"/>
    <col min="4" max="4" width="20.42578125" customWidth="1"/>
    <col min="5" max="5" width="7.140625" customWidth="1"/>
    <col min="7" max="79" width="31.140625" customWidth="1"/>
    <col min="80" max="84" width="31.42578125" customWidth="1"/>
    <col min="85" max="92" width="34" customWidth="1"/>
  </cols>
  <sheetData>
    <row r="2" spans="2:91">
      <c r="B2" s="1" t="s">
        <v>23</v>
      </c>
      <c r="C2" s="15" t="s">
        <v>24</v>
      </c>
      <c r="D2" s="23" t="s">
        <v>25</v>
      </c>
      <c r="E2" s="23" t="s">
        <v>26</v>
      </c>
      <c r="F2" s="23" t="s">
        <v>27</v>
      </c>
      <c r="G2" s="20">
        <v>46059</v>
      </c>
      <c r="H2" s="48">
        <v>46062</v>
      </c>
      <c r="I2" s="48">
        <v>46063</v>
      </c>
      <c r="J2" s="48">
        <v>46064</v>
      </c>
      <c r="K2" s="48">
        <v>46065</v>
      </c>
      <c r="L2" s="48">
        <v>46066</v>
      </c>
      <c r="M2" s="48">
        <v>46069</v>
      </c>
      <c r="N2" s="48">
        <v>46070</v>
      </c>
      <c r="O2" s="48">
        <v>46071</v>
      </c>
      <c r="P2" s="48">
        <v>46072</v>
      </c>
      <c r="Q2" s="48">
        <v>46073</v>
      </c>
      <c r="R2" s="48">
        <v>46076</v>
      </c>
      <c r="S2" s="48">
        <v>46077</v>
      </c>
      <c r="T2" s="48">
        <v>46078</v>
      </c>
      <c r="U2" s="48">
        <v>46079</v>
      </c>
      <c r="V2" s="48">
        <v>46080</v>
      </c>
      <c r="W2" s="48">
        <v>46083</v>
      </c>
      <c r="X2" s="48">
        <v>46084</v>
      </c>
      <c r="Y2" s="48">
        <v>46085</v>
      </c>
      <c r="Z2" s="48">
        <v>46086</v>
      </c>
      <c r="AA2" s="48">
        <v>46087</v>
      </c>
      <c r="AB2" s="21">
        <v>46090</v>
      </c>
      <c r="AC2" s="48">
        <v>46091</v>
      </c>
      <c r="AD2" s="20">
        <v>46092</v>
      </c>
      <c r="AE2" s="22">
        <v>46093</v>
      </c>
      <c r="AF2" s="48">
        <v>46094</v>
      </c>
      <c r="AG2" s="48">
        <v>46097</v>
      </c>
      <c r="AH2" s="48">
        <v>46098</v>
      </c>
      <c r="AI2" s="48">
        <v>46099</v>
      </c>
      <c r="AJ2" s="48">
        <v>46100</v>
      </c>
      <c r="AK2" s="68">
        <v>46101</v>
      </c>
      <c r="AL2" s="69">
        <v>46105</v>
      </c>
      <c r="AM2" s="22">
        <v>46106</v>
      </c>
      <c r="AN2" s="48">
        <v>46107</v>
      </c>
      <c r="AO2" s="48">
        <v>46108</v>
      </c>
      <c r="AP2" s="48">
        <v>46111</v>
      </c>
      <c r="AQ2" s="21">
        <v>46112</v>
      </c>
      <c r="AR2" s="48">
        <v>46113</v>
      </c>
      <c r="AS2" s="48">
        <v>46118</v>
      </c>
      <c r="AT2" s="48">
        <v>46119</v>
      </c>
      <c r="AU2" s="48">
        <v>46120</v>
      </c>
      <c r="AV2" s="21">
        <v>46121</v>
      </c>
      <c r="AW2" s="20">
        <v>46122</v>
      </c>
      <c r="AX2" s="70">
        <v>46125</v>
      </c>
      <c r="AY2" s="70">
        <v>46126</v>
      </c>
      <c r="AZ2" s="70">
        <v>46127</v>
      </c>
      <c r="BA2" s="71">
        <v>46128</v>
      </c>
      <c r="BB2" s="70">
        <v>46129</v>
      </c>
      <c r="BC2" s="70">
        <v>46132</v>
      </c>
      <c r="BD2" s="20">
        <v>46133</v>
      </c>
      <c r="BE2" s="20">
        <v>46134</v>
      </c>
      <c r="BF2" s="21">
        <v>46135</v>
      </c>
      <c r="BG2" s="52">
        <v>46136</v>
      </c>
      <c r="BH2" s="20">
        <v>46139</v>
      </c>
      <c r="BI2" s="20">
        <v>46140</v>
      </c>
      <c r="BJ2" s="20">
        <v>46141</v>
      </c>
      <c r="BK2" s="20">
        <v>46142</v>
      </c>
      <c r="BL2" s="20">
        <v>46146</v>
      </c>
      <c r="BM2" s="20">
        <v>46147</v>
      </c>
      <c r="BN2" s="20">
        <v>46148</v>
      </c>
      <c r="BO2" s="20">
        <v>46149</v>
      </c>
      <c r="BP2" s="20">
        <v>46150</v>
      </c>
      <c r="BQ2" s="20">
        <v>46153</v>
      </c>
      <c r="BR2" s="20">
        <v>46154</v>
      </c>
      <c r="BS2" s="20">
        <v>46155</v>
      </c>
      <c r="BT2" s="20">
        <v>46156</v>
      </c>
      <c r="BU2" s="20">
        <v>46157</v>
      </c>
      <c r="BV2" s="20">
        <v>46161</v>
      </c>
      <c r="BW2" s="20">
        <v>46162</v>
      </c>
      <c r="BX2" s="20">
        <v>46163</v>
      </c>
      <c r="BY2" s="20">
        <v>46164</v>
      </c>
      <c r="BZ2" s="20">
        <v>46167</v>
      </c>
      <c r="CA2" s="20">
        <v>46168</v>
      </c>
      <c r="CB2" s="20">
        <v>46169</v>
      </c>
      <c r="CC2" s="20">
        <v>46170</v>
      </c>
      <c r="CD2" s="20">
        <v>46170</v>
      </c>
      <c r="CE2" s="20">
        <v>46171</v>
      </c>
      <c r="CF2" s="20">
        <v>46174</v>
      </c>
      <c r="CG2" s="20">
        <v>46175</v>
      </c>
      <c r="CH2" s="20">
        <v>46176</v>
      </c>
      <c r="CI2" s="20">
        <v>46177</v>
      </c>
      <c r="CJ2" s="20">
        <v>46178</v>
      </c>
      <c r="CK2" s="20">
        <v>46182</v>
      </c>
      <c r="CL2" s="20">
        <v>46183</v>
      </c>
      <c r="CM2" s="20">
        <v>46184</v>
      </c>
    </row>
    <row r="3" spans="2:91" ht="29.25" customHeight="1">
      <c r="B3" s="97" t="s">
        <v>5</v>
      </c>
      <c r="C3" s="50" t="s">
        <v>73</v>
      </c>
      <c r="D3" s="30" t="s">
        <v>29</v>
      </c>
      <c r="E3" s="3">
        <v>8</v>
      </c>
      <c r="F3" s="3">
        <v>1</v>
      </c>
      <c r="G3" s="8"/>
      <c r="H3" s="8"/>
      <c r="J3" s="11"/>
      <c r="K3" s="11"/>
      <c r="L3" s="82" t="s">
        <v>74</v>
      </c>
      <c r="M3" s="98"/>
      <c r="N3" s="11"/>
      <c r="O3" s="11"/>
      <c r="P3" s="11"/>
      <c r="Q3" s="11"/>
      <c r="R3" s="11"/>
      <c r="S3" s="11"/>
      <c r="T3" s="11"/>
      <c r="U3" s="11"/>
      <c r="V3" s="11"/>
      <c r="W3" s="11"/>
      <c r="X3" s="11"/>
      <c r="Y3" s="11"/>
      <c r="Z3" s="80" t="s">
        <v>75</v>
      </c>
      <c r="AA3" s="11"/>
      <c r="AB3" s="11"/>
      <c r="AC3" s="11"/>
      <c r="AD3" s="11"/>
      <c r="AE3" s="11"/>
      <c r="AF3" s="11"/>
      <c r="AG3" s="11"/>
      <c r="AH3" s="11"/>
      <c r="AI3" s="11"/>
      <c r="AJ3" s="11"/>
      <c r="AK3" s="80" t="s">
        <v>76</v>
      </c>
      <c r="AL3" s="82" t="s">
        <v>77</v>
      </c>
      <c r="AM3" s="84"/>
      <c r="AN3" s="66"/>
      <c r="AO3" s="11"/>
      <c r="AP3" s="80" t="s">
        <v>78</v>
      </c>
      <c r="AQ3" s="8"/>
      <c r="AS3" s="11"/>
      <c r="AT3" s="11"/>
      <c r="AU3" s="11"/>
      <c r="AV3" s="11"/>
      <c r="AW3" s="82" t="s">
        <v>79</v>
      </c>
      <c r="AX3" s="84"/>
      <c r="AY3" s="11"/>
      <c r="AZ3" s="11"/>
      <c r="BA3" s="11"/>
      <c r="BB3" s="11"/>
      <c r="BC3" s="11"/>
      <c r="BD3" s="10"/>
      <c r="BE3" s="80" t="s">
        <v>80</v>
      </c>
      <c r="BF3" s="80" t="s">
        <v>31</v>
      </c>
      <c r="BG3" s="8"/>
      <c r="BI3" s="94" t="s">
        <v>81</v>
      </c>
      <c r="BJ3" s="95"/>
      <c r="BK3" s="96"/>
      <c r="BL3" s="7"/>
      <c r="BM3" s="7"/>
      <c r="BN3" s="94" t="s">
        <v>82</v>
      </c>
      <c r="BO3" s="95"/>
      <c r="BP3" s="96"/>
      <c r="BQ3" s="7"/>
      <c r="BR3" s="10"/>
      <c r="BS3" s="10"/>
      <c r="BT3" s="93" t="s">
        <v>83</v>
      </c>
      <c r="BU3" s="10"/>
      <c r="BV3" s="10"/>
      <c r="BW3" s="10"/>
      <c r="BX3" s="10"/>
      <c r="BY3" s="10"/>
      <c r="BZ3" s="10"/>
      <c r="CA3" s="7"/>
      <c r="CB3" s="7"/>
      <c r="CC3" s="8"/>
      <c r="CD3" s="8"/>
      <c r="CE3" s="8"/>
      <c r="CF3" s="8"/>
      <c r="CG3" s="8"/>
      <c r="CH3" s="8"/>
      <c r="CI3" s="8"/>
      <c r="CJ3" s="49"/>
      <c r="CK3" s="8"/>
      <c r="CL3" s="8"/>
      <c r="CM3" s="8"/>
    </row>
    <row r="4" spans="2:91" ht="30.75" customHeight="1">
      <c r="B4" s="88"/>
      <c r="C4" s="50" t="s">
        <v>84</v>
      </c>
      <c r="D4" s="30" t="s">
        <v>29</v>
      </c>
      <c r="E4" s="3">
        <v>6</v>
      </c>
      <c r="F4" s="3">
        <v>0.75</v>
      </c>
      <c r="G4" s="11"/>
      <c r="H4" s="11"/>
      <c r="I4" s="11"/>
      <c r="J4" s="11"/>
      <c r="K4" s="11"/>
      <c r="L4" s="99"/>
      <c r="M4" s="98"/>
      <c r="N4" s="11"/>
      <c r="O4" s="11"/>
      <c r="P4" s="11"/>
      <c r="Q4" s="11"/>
      <c r="R4" s="11"/>
      <c r="S4" s="11"/>
      <c r="T4" s="11"/>
      <c r="U4" s="11"/>
      <c r="V4" s="11"/>
      <c r="W4" s="11"/>
      <c r="X4" s="11"/>
      <c r="Y4" s="11"/>
      <c r="Z4" s="80"/>
      <c r="AA4" s="11"/>
      <c r="AB4" s="11"/>
      <c r="AC4" s="11"/>
      <c r="AD4" s="11"/>
      <c r="AE4" s="11"/>
      <c r="AF4" s="11"/>
      <c r="AG4" s="11"/>
      <c r="AH4" s="11"/>
      <c r="AI4" s="11"/>
      <c r="AJ4" s="11"/>
      <c r="AK4" s="80"/>
      <c r="AL4" s="82"/>
      <c r="AM4" s="84"/>
      <c r="AN4" s="66"/>
      <c r="AO4" s="11"/>
      <c r="AP4" s="80"/>
      <c r="AQ4" s="8"/>
      <c r="AS4" s="11"/>
      <c r="AT4" s="11"/>
      <c r="AU4" s="11"/>
      <c r="AV4" s="11"/>
      <c r="AW4" s="82"/>
      <c r="AX4" s="84"/>
      <c r="AY4" s="11"/>
      <c r="AZ4" s="11"/>
      <c r="BA4" s="11"/>
      <c r="BB4" s="11"/>
      <c r="BC4" s="11"/>
      <c r="BD4" s="11"/>
      <c r="BE4" s="80"/>
      <c r="BF4" s="80"/>
      <c r="BG4" s="8"/>
      <c r="BI4" s="82"/>
      <c r="BJ4" s="83"/>
      <c r="BK4" s="84"/>
      <c r="BL4" s="8"/>
      <c r="BM4" s="8"/>
      <c r="BN4" s="82"/>
      <c r="BO4" s="83"/>
      <c r="BP4" s="84"/>
      <c r="BQ4" s="8"/>
      <c r="BR4" s="11"/>
      <c r="BS4" s="11"/>
      <c r="BT4" s="80"/>
      <c r="BU4" s="11"/>
      <c r="BV4" s="11"/>
      <c r="BW4" s="11"/>
      <c r="BX4" s="11"/>
      <c r="BY4" s="11"/>
      <c r="BZ4" s="11"/>
      <c r="CA4" s="8"/>
      <c r="CB4" s="8"/>
      <c r="CC4" s="8"/>
      <c r="CD4" s="8"/>
      <c r="CE4" s="8"/>
      <c r="CF4" s="8"/>
      <c r="CG4" s="8"/>
      <c r="CH4" s="8"/>
      <c r="CI4" s="8"/>
      <c r="CJ4" s="49"/>
      <c r="CK4" s="8"/>
      <c r="CL4" s="8"/>
      <c r="CM4" s="8"/>
    </row>
    <row r="5" spans="2:91" ht="33.75" customHeight="1">
      <c r="B5" s="88"/>
      <c r="C5" s="50" t="s">
        <v>85</v>
      </c>
      <c r="D5" s="30" t="s">
        <v>29</v>
      </c>
      <c r="E5" s="3">
        <v>12</v>
      </c>
      <c r="F5" s="3">
        <v>1.5</v>
      </c>
      <c r="G5" s="11"/>
      <c r="H5" s="8"/>
      <c r="I5" s="11"/>
      <c r="J5" s="11"/>
      <c r="K5" s="11"/>
      <c r="L5" s="99"/>
      <c r="M5" s="98"/>
      <c r="N5" s="11"/>
      <c r="O5" s="11"/>
      <c r="P5" s="11"/>
      <c r="Q5" s="11"/>
      <c r="R5" s="11"/>
      <c r="S5" s="11"/>
      <c r="T5" s="11"/>
      <c r="U5" s="11"/>
      <c r="V5" s="11"/>
      <c r="W5" s="11"/>
      <c r="X5" s="11"/>
      <c r="Y5" s="11"/>
      <c r="Z5" s="80"/>
      <c r="AA5" s="11"/>
      <c r="AB5" s="11"/>
      <c r="AC5" s="11"/>
      <c r="AD5" s="11"/>
      <c r="AE5" s="11"/>
      <c r="AF5" s="11"/>
      <c r="AG5" s="11"/>
      <c r="AH5" s="11"/>
      <c r="AI5" s="11"/>
      <c r="AJ5" s="11"/>
      <c r="AK5" s="80"/>
      <c r="AL5" s="82"/>
      <c r="AM5" s="84"/>
      <c r="AN5" s="66"/>
      <c r="AO5" s="11"/>
      <c r="AP5" s="80"/>
      <c r="AQ5" s="8"/>
      <c r="AS5" s="11"/>
      <c r="AT5" s="11"/>
      <c r="AU5" s="11"/>
      <c r="AV5" s="11"/>
      <c r="AW5" s="82"/>
      <c r="AX5" s="84"/>
      <c r="AY5" s="11"/>
      <c r="AZ5" s="11"/>
      <c r="BA5" s="11"/>
      <c r="BB5" s="11"/>
      <c r="BC5" s="11"/>
      <c r="BD5" s="11"/>
      <c r="BE5" s="80"/>
      <c r="BF5" s="80"/>
      <c r="BG5" s="8"/>
      <c r="BI5" s="82"/>
      <c r="BJ5" s="83"/>
      <c r="BK5" s="84"/>
      <c r="BL5" s="8"/>
      <c r="BM5" s="8"/>
      <c r="BN5" s="82"/>
      <c r="BO5" s="83"/>
      <c r="BP5" s="84"/>
      <c r="BQ5" s="8"/>
      <c r="BR5" s="11"/>
      <c r="BS5" s="11"/>
      <c r="BT5" s="80"/>
      <c r="BU5" s="11"/>
      <c r="BV5" s="11"/>
      <c r="BW5" s="11"/>
      <c r="BX5" s="11"/>
      <c r="BY5" s="11"/>
      <c r="BZ5" s="11"/>
      <c r="CA5" s="8"/>
      <c r="CB5" s="8"/>
      <c r="CC5" s="8"/>
      <c r="CD5" s="8"/>
      <c r="CE5" s="8"/>
      <c r="CF5" s="8"/>
      <c r="CG5" s="8"/>
      <c r="CH5" s="8"/>
      <c r="CI5" s="8"/>
      <c r="CJ5" s="49"/>
      <c r="CK5" s="8"/>
      <c r="CL5" s="8"/>
      <c r="CM5" s="8"/>
    </row>
    <row r="6" spans="2:91" ht="31.5" customHeight="1">
      <c r="B6" s="89"/>
      <c r="C6" s="50" t="s">
        <v>86</v>
      </c>
      <c r="D6" s="30" t="s">
        <v>29</v>
      </c>
      <c r="E6" s="3">
        <v>8</v>
      </c>
      <c r="F6" s="3">
        <v>1</v>
      </c>
      <c r="G6" s="11"/>
      <c r="H6" s="8"/>
      <c r="I6" s="11"/>
      <c r="J6" s="11"/>
      <c r="K6" s="11"/>
      <c r="L6" s="99"/>
      <c r="M6" s="98"/>
      <c r="N6" s="11"/>
      <c r="O6" s="11"/>
      <c r="P6" s="11"/>
      <c r="Q6" s="11"/>
      <c r="R6" s="11"/>
      <c r="S6" s="11"/>
      <c r="T6" s="11"/>
      <c r="U6" s="11"/>
      <c r="V6" s="11"/>
      <c r="W6" s="11"/>
      <c r="X6" s="11"/>
      <c r="Y6" s="11"/>
      <c r="Z6" s="80"/>
      <c r="AA6" s="11"/>
      <c r="AB6" s="11"/>
      <c r="AC6" s="11"/>
      <c r="AD6" s="11"/>
      <c r="AE6" s="11"/>
      <c r="AF6" s="11"/>
      <c r="AG6" s="11"/>
      <c r="AH6" s="11"/>
      <c r="AI6" s="11"/>
      <c r="AJ6" s="11"/>
      <c r="AK6" s="80"/>
      <c r="AL6" s="82"/>
      <c r="AM6" s="84"/>
      <c r="AN6" s="66"/>
      <c r="AO6" s="11"/>
      <c r="AP6" s="80"/>
      <c r="AQ6" s="8"/>
      <c r="AS6" s="11"/>
      <c r="AT6" s="11"/>
      <c r="AU6" s="11"/>
      <c r="AV6" s="11"/>
      <c r="AW6" s="82"/>
      <c r="AX6" s="84"/>
      <c r="AY6" s="11"/>
      <c r="AZ6" s="11"/>
      <c r="BA6" s="11"/>
      <c r="BB6" s="11"/>
      <c r="BC6" s="11"/>
      <c r="BD6" s="11"/>
      <c r="BE6" s="80"/>
      <c r="BF6" s="80"/>
      <c r="BG6" s="8"/>
      <c r="BI6" s="82"/>
      <c r="BJ6" s="83"/>
      <c r="BK6" s="84"/>
      <c r="BL6" s="8"/>
      <c r="BM6" s="8"/>
      <c r="BN6" s="82"/>
      <c r="BO6" s="83"/>
      <c r="BP6" s="84"/>
      <c r="BQ6" s="8"/>
      <c r="BR6" s="11"/>
      <c r="BS6" s="11"/>
      <c r="BT6" s="80"/>
      <c r="BU6" s="11"/>
      <c r="BV6" s="11"/>
      <c r="BW6" s="11"/>
      <c r="BX6" s="11"/>
      <c r="BY6" s="11"/>
      <c r="BZ6" s="11"/>
      <c r="CA6" s="8"/>
      <c r="CB6" s="8"/>
      <c r="CC6" s="8"/>
      <c r="CD6" s="8"/>
      <c r="CE6" s="8"/>
      <c r="CF6" s="8"/>
      <c r="CG6" s="8"/>
      <c r="CH6" s="8"/>
      <c r="CI6" s="8"/>
      <c r="CJ6" s="49"/>
      <c r="CK6" s="8"/>
      <c r="CL6" s="8"/>
      <c r="CM6" s="8"/>
    </row>
    <row r="7" spans="2:91" ht="30" customHeight="1">
      <c r="B7" s="90" t="s">
        <v>7</v>
      </c>
      <c r="C7" s="51" t="s">
        <v>87</v>
      </c>
      <c r="D7" s="30" t="s">
        <v>29</v>
      </c>
      <c r="E7" s="3">
        <v>20</v>
      </c>
      <c r="F7" s="3">
        <v>3</v>
      </c>
      <c r="G7" s="11"/>
      <c r="H7" s="8"/>
      <c r="I7" s="11"/>
      <c r="J7" s="11"/>
      <c r="K7" s="11"/>
      <c r="L7" s="99"/>
      <c r="M7" s="98"/>
      <c r="N7" s="11"/>
      <c r="O7" s="11"/>
      <c r="P7" s="11"/>
      <c r="Q7" s="11"/>
      <c r="R7" s="11"/>
      <c r="S7" s="11"/>
      <c r="T7" s="11"/>
      <c r="U7" s="11"/>
      <c r="V7" s="11"/>
      <c r="W7" s="11"/>
      <c r="X7" s="11"/>
      <c r="Y7" s="11"/>
      <c r="Z7" s="80"/>
      <c r="AA7" s="11"/>
      <c r="AB7" s="11"/>
      <c r="AC7" s="11"/>
      <c r="AD7" s="11"/>
      <c r="AE7" s="11"/>
      <c r="AF7" s="11"/>
      <c r="AG7" s="11"/>
      <c r="AH7" s="11"/>
      <c r="AI7" s="11"/>
      <c r="AJ7" s="11"/>
      <c r="AK7" s="80"/>
      <c r="AL7" s="82"/>
      <c r="AM7" s="84"/>
      <c r="AN7" s="66"/>
      <c r="AO7" s="11"/>
      <c r="AP7" s="80"/>
      <c r="AQ7" s="8"/>
      <c r="AS7" s="11"/>
      <c r="AT7" s="11"/>
      <c r="AU7" s="11"/>
      <c r="AV7" s="11"/>
      <c r="AW7" s="82"/>
      <c r="AX7" s="84"/>
      <c r="AY7" s="11"/>
      <c r="AZ7" s="11"/>
      <c r="BA7" s="11"/>
      <c r="BB7" s="11"/>
      <c r="BC7" s="11"/>
      <c r="BD7" s="11"/>
      <c r="BE7" s="80"/>
      <c r="BF7" s="80"/>
      <c r="BG7" s="8"/>
      <c r="BI7" s="82"/>
      <c r="BJ7" s="83"/>
      <c r="BK7" s="84"/>
      <c r="BL7" s="8"/>
      <c r="BM7" s="8"/>
      <c r="BN7" s="82"/>
      <c r="BO7" s="83"/>
      <c r="BP7" s="84"/>
      <c r="BQ7" s="8"/>
      <c r="BR7" s="11"/>
      <c r="BS7" s="11"/>
      <c r="BT7" s="80"/>
      <c r="BU7" s="11"/>
      <c r="BV7" s="11"/>
      <c r="BW7" s="11"/>
      <c r="BX7" s="11"/>
      <c r="BY7" s="11"/>
      <c r="BZ7" s="11"/>
      <c r="CA7" s="8"/>
      <c r="CB7" s="8"/>
      <c r="CC7" s="8"/>
      <c r="CD7" s="8"/>
      <c r="CE7" s="8"/>
      <c r="CF7" s="8"/>
      <c r="CG7" s="8"/>
      <c r="CH7" s="8"/>
      <c r="CI7" s="8"/>
      <c r="CJ7" s="49"/>
      <c r="CK7" s="8"/>
      <c r="CL7" s="8"/>
      <c r="CM7" s="8"/>
    </row>
    <row r="8" spans="2:91" ht="30" customHeight="1">
      <c r="B8" s="88"/>
      <c r="C8" s="51" t="s">
        <v>88</v>
      </c>
      <c r="D8" s="30" t="s">
        <v>29</v>
      </c>
      <c r="E8" s="3">
        <v>20</v>
      </c>
      <c r="F8" s="3">
        <v>2.5</v>
      </c>
      <c r="G8" s="11"/>
      <c r="H8" s="8"/>
      <c r="J8" s="11"/>
      <c r="K8" s="11"/>
      <c r="L8" s="99"/>
      <c r="M8" s="98"/>
      <c r="N8" s="11"/>
      <c r="O8" s="11"/>
      <c r="P8" s="11"/>
      <c r="Q8" s="11"/>
      <c r="R8" s="11"/>
      <c r="S8" s="11"/>
      <c r="T8" s="11"/>
      <c r="U8" s="11"/>
      <c r="V8" s="11"/>
      <c r="W8" s="11"/>
      <c r="X8" s="11"/>
      <c r="Y8" s="11"/>
      <c r="Z8" s="80"/>
      <c r="AA8" s="11"/>
      <c r="AB8" s="11"/>
      <c r="AC8" s="11"/>
      <c r="AD8" s="11"/>
      <c r="AE8" s="11"/>
      <c r="AF8" s="11"/>
      <c r="AG8" s="11"/>
      <c r="AH8" s="11"/>
      <c r="AI8" s="11"/>
      <c r="AJ8" s="11"/>
      <c r="AK8" s="80"/>
      <c r="AL8" s="82"/>
      <c r="AM8" s="84"/>
      <c r="AN8" s="66"/>
      <c r="AO8" s="11"/>
      <c r="AP8" s="80"/>
      <c r="AQ8" s="8"/>
      <c r="AS8" s="11"/>
      <c r="AT8" s="11"/>
      <c r="AU8" s="11"/>
      <c r="AV8" s="11"/>
      <c r="AW8" s="82"/>
      <c r="AX8" s="84"/>
      <c r="AY8" s="11"/>
      <c r="AZ8" s="11"/>
      <c r="BA8" s="11"/>
      <c r="BB8" s="11"/>
      <c r="BC8" s="11"/>
      <c r="BD8" s="11"/>
      <c r="BE8" s="80"/>
      <c r="BF8" s="80"/>
      <c r="BG8" s="8"/>
      <c r="BI8" s="82"/>
      <c r="BJ8" s="83"/>
      <c r="BK8" s="84"/>
      <c r="BL8" s="8"/>
      <c r="BM8" s="8"/>
      <c r="BN8" s="82"/>
      <c r="BO8" s="83"/>
      <c r="BP8" s="84"/>
      <c r="BQ8" s="8"/>
      <c r="BR8" s="11"/>
      <c r="BS8" s="11"/>
      <c r="BT8" s="80"/>
      <c r="BU8" s="11"/>
      <c r="BV8" s="11"/>
      <c r="BW8" s="11"/>
      <c r="BX8" s="11"/>
      <c r="BY8" s="11"/>
      <c r="BZ8" s="11"/>
      <c r="CA8" s="8"/>
      <c r="CB8" s="8"/>
      <c r="CC8" s="8"/>
      <c r="CD8" s="8"/>
      <c r="CE8" s="8"/>
      <c r="CF8" s="8"/>
      <c r="CG8" s="8"/>
      <c r="CH8" s="8"/>
      <c r="CI8" s="8"/>
      <c r="CJ8" s="49"/>
      <c r="CK8" s="8"/>
      <c r="CL8" s="8"/>
      <c r="CM8" s="8"/>
    </row>
    <row r="9" spans="2:91" ht="27.75" customHeight="1">
      <c r="B9" s="88"/>
      <c r="C9" s="54" t="s">
        <v>89</v>
      </c>
      <c r="D9" s="30" t="s">
        <v>29</v>
      </c>
      <c r="E9" s="3">
        <v>16</v>
      </c>
      <c r="F9" s="3">
        <v>2</v>
      </c>
      <c r="G9" s="11"/>
      <c r="H9" s="8"/>
      <c r="I9" s="11"/>
      <c r="J9" s="11"/>
      <c r="K9" s="11"/>
      <c r="L9" s="99"/>
      <c r="M9" s="98"/>
      <c r="N9" s="11"/>
      <c r="O9" s="11"/>
      <c r="P9" s="11"/>
      <c r="Q9" s="11"/>
      <c r="R9" s="11"/>
      <c r="S9" s="11"/>
      <c r="T9" s="11"/>
      <c r="U9" s="11"/>
      <c r="V9" s="11"/>
      <c r="W9" s="11"/>
      <c r="X9" s="11"/>
      <c r="Y9" s="11"/>
      <c r="Z9" s="80"/>
      <c r="AA9" s="11"/>
      <c r="AB9" s="11"/>
      <c r="AC9" s="11"/>
      <c r="AD9" s="11"/>
      <c r="AE9" s="11"/>
      <c r="AF9" s="11"/>
      <c r="AG9" s="11"/>
      <c r="AH9" s="11"/>
      <c r="AI9" s="11"/>
      <c r="AJ9" s="11"/>
      <c r="AK9" s="80"/>
      <c r="AL9" s="82"/>
      <c r="AM9" s="84"/>
      <c r="AN9" s="66"/>
      <c r="AO9" s="11"/>
      <c r="AP9" s="80"/>
      <c r="AQ9" s="8"/>
      <c r="AS9" s="11"/>
      <c r="AT9" s="11"/>
      <c r="AU9" s="11"/>
      <c r="AV9" s="11"/>
      <c r="AW9" s="82"/>
      <c r="AX9" s="84"/>
      <c r="AY9" s="11"/>
      <c r="AZ9" s="11"/>
      <c r="BA9" s="11"/>
      <c r="BB9" s="11"/>
      <c r="BC9" s="11"/>
      <c r="BD9" s="11"/>
      <c r="BE9" s="80"/>
      <c r="BF9" s="80"/>
      <c r="BG9" s="8"/>
      <c r="BI9" s="82"/>
      <c r="BJ9" s="83"/>
      <c r="BK9" s="84"/>
      <c r="BL9" s="8"/>
      <c r="BM9" s="8"/>
      <c r="BN9" s="82"/>
      <c r="BO9" s="83"/>
      <c r="BP9" s="84"/>
      <c r="BQ9" s="8"/>
      <c r="BR9" s="11"/>
      <c r="BS9" s="11"/>
      <c r="BT9" s="80"/>
      <c r="BU9" s="11"/>
      <c r="BV9" s="11"/>
      <c r="BW9" s="11"/>
      <c r="BX9" s="11"/>
      <c r="BY9" s="11"/>
      <c r="BZ9" s="11"/>
      <c r="CA9" s="8"/>
      <c r="CB9" s="8"/>
      <c r="CC9" s="8"/>
      <c r="CD9" s="8"/>
      <c r="CE9" s="8"/>
      <c r="CF9" s="8"/>
      <c r="CG9" s="8"/>
      <c r="CH9" s="8"/>
      <c r="CI9" s="8"/>
      <c r="CJ9" s="49"/>
      <c r="CK9" s="8"/>
      <c r="CL9" s="8"/>
      <c r="CM9" s="8"/>
    </row>
    <row r="10" spans="2:91" ht="36.75" customHeight="1">
      <c r="B10" s="88"/>
      <c r="C10" s="51" t="s">
        <v>90</v>
      </c>
      <c r="D10" s="30" t="s">
        <v>29</v>
      </c>
      <c r="E10" s="3">
        <v>10</v>
      </c>
      <c r="F10" s="3">
        <v>1.25</v>
      </c>
      <c r="G10" s="11"/>
      <c r="H10" s="8"/>
      <c r="J10" s="11"/>
      <c r="K10" s="11"/>
      <c r="L10" s="99"/>
      <c r="M10" s="98"/>
      <c r="N10" s="11"/>
      <c r="O10" s="11"/>
      <c r="P10" s="11"/>
      <c r="Q10" s="11"/>
      <c r="R10" s="11"/>
      <c r="S10" s="11"/>
      <c r="T10" s="11"/>
      <c r="U10" s="11"/>
      <c r="V10" s="11"/>
      <c r="W10" s="11"/>
      <c r="X10" s="11"/>
      <c r="Y10" s="11"/>
      <c r="Z10" s="80"/>
      <c r="AA10" s="11"/>
      <c r="AB10" s="11"/>
      <c r="AC10" s="11"/>
      <c r="AD10" s="11"/>
      <c r="AE10" s="11"/>
      <c r="AF10" s="11"/>
      <c r="AG10" s="11"/>
      <c r="AH10" s="11"/>
      <c r="AI10" s="11"/>
      <c r="AJ10" s="11"/>
      <c r="AK10" s="80"/>
      <c r="AL10" s="82"/>
      <c r="AM10" s="84"/>
      <c r="AN10" s="66"/>
      <c r="AO10" s="11"/>
      <c r="AP10" s="80"/>
      <c r="AQ10" s="8"/>
      <c r="AS10" s="11"/>
      <c r="AT10" s="11"/>
      <c r="AU10" s="11"/>
      <c r="AV10" s="11"/>
      <c r="AW10" s="82"/>
      <c r="AX10" s="84"/>
      <c r="AY10" s="11"/>
      <c r="AZ10" s="11"/>
      <c r="BA10" s="11"/>
      <c r="BB10" s="11"/>
      <c r="BC10" s="11"/>
      <c r="BD10" s="11"/>
      <c r="BE10" s="80"/>
      <c r="BF10" s="80"/>
      <c r="BG10" s="8"/>
      <c r="BI10" s="82"/>
      <c r="BJ10" s="83"/>
      <c r="BK10" s="84"/>
      <c r="BL10" s="8"/>
      <c r="BM10" s="8"/>
      <c r="BN10" s="82"/>
      <c r="BO10" s="83"/>
      <c r="BP10" s="84"/>
      <c r="BQ10" s="8"/>
      <c r="BR10" s="11"/>
      <c r="BS10" s="11"/>
      <c r="BT10" s="80"/>
      <c r="BU10" s="11"/>
      <c r="BV10" s="11"/>
      <c r="BW10" s="11"/>
      <c r="BX10" s="11"/>
      <c r="BY10" s="11"/>
      <c r="BZ10" s="11"/>
      <c r="CA10" s="8"/>
      <c r="CB10" s="8"/>
      <c r="CC10" s="8"/>
      <c r="CD10" s="8"/>
      <c r="CE10" s="8"/>
      <c r="CF10" s="8"/>
      <c r="CG10" s="8"/>
      <c r="CH10" s="8"/>
      <c r="CI10" s="8"/>
      <c r="CJ10" s="49"/>
      <c r="CK10" s="8"/>
      <c r="CL10" s="8"/>
      <c r="CM10" s="8"/>
    </row>
    <row r="11" spans="2:91" ht="37.5" customHeight="1">
      <c r="B11" s="88"/>
      <c r="C11" s="51" t="s">
        <v>91</v>
      </c>
      <c r="D11" s="30" t="s">
        <v>29</v>
      </c>
      <c r="E11" s="3">
        <v>36</v>
      </c>
      <c r="F11" s="3">
        <v>5</v>
      </c>
      <c r="G11" s="11"/>
      <c r="H11" s="8"/>
      <c r="J11" s="11"/>
      <c r="K11" s="11"/>
      <c r="L11" s="99"/>
      <c r="M11" s="98"/>
      <c r="N11" s="11"/>
      <c r="O11" s="11"/>
      <c r="P11" s="11"/>
      <c r="Q11" s="11"/>
      <c r="R11" s="11"/>
      <c r="S11" s="11"/>
      <c r="T11" s="11"/>
      <c r="U11" s="11"/>
      <c r="V11" s="11"/>
      <c r="W11" s="11"/>
      <c r="X11" s="11"/>
      <c r="Y11" s="11"/>
      <c r="Z11" s="80"/>
      <c r="AA11" s="11"/>
      <c r="AB11" s="11"/>
      <c r="AC11" s="11"/>
      <c r="AD11" s="11"/>
      <c r="AE11" s="11"/>
      <c r="AF11" s="11"/>
      <c r="AG11" s="11"/>
      <c r="AH11" s="11"/>
      <c r="AI11" s="11"/>
      <c r="AJ11" s="11"/>
      <c r="AK11" s="80"/>
      <c r="AL11" s="82"/>
      <c r="AM11" s="84"/>
      <c r="AN11" s="66"/>
      <c r="AO11" s="11"/>
      <c r="AP11" s="80"/>
      <c r="AQ11" s="8"/>
      <c r="AS11" s="11"/>
      <c r="AT11" s="11"/>
      <c r="AU11" s="11"/>
      <c r="AV11" s="11"/>
      <c r="AW11" s="82"/>
      <c r="AX11" s="84"/>
      <c r="AY11" s="11"/>
      <c r="AZ11" s="11"/>
      <c r="BA11" s="11"/>
      <c r="BB11" s="11"/>
      <c r="BC11" s="11"/>
      <c r="BD11" s="11"/>
      <c r="BE11" s="80"/>
      <c r="BF11" s="80"/>
      <c r="BG11" s="8"/>
      <c r="BI11" s="82"/>
      <c r="BJ11" s="83"/>
      <c r="BK11" s="84"/>
      <c r="BL11" s="8"/>
      <c r="BM11" s="8"/>
      <c r="BN11" s="82"/>
      <c r="BO11" s="83"/>
      <c r="BP11" s="84"/>
      <c r="BQ11" s="8"/>
      <c r="BR11" s="11"/>
      <c r="BS11" s="11"/>
      <c r="BT11" s="80"/>
      <c r="BU11" s="11"/>
      <c r="BV11" s="11"/>
      <c r="BW11" s="11"/>
      <c r="BX11" s="11"/>
      <c r="BY11" s="11"/>
      <c r="BZ11" s="11"/>
      <c r="CA11" s="8"/>
      <c r="CB11" s="8"/>
      <c r="CC11" s="8"/>
      <c r="CD11" s="8"/>
      <c r="CE11" s="8"/>
      <c r="CF11" s="8"/>
      <c r="CG11" s="8"/>
      <c r="CH11" s="8"/>
      <c r="CI11" s="8"/>
      <c r="CJ11" s="49"/>
      <c r="CK11" s="8"/>
      <c r="CL11" s="8"/>
      <c r="CM11" s="8"/>
    </row>
    <row r="12" spans="2:91" ht="42.75" customHeight="1">
      <c r="B12" s="88"/>
      <c r="C12" s="55" t="s">
        <v>92</v>
      </c>
      <c r="D12" s="56" t="s">
        <v>29</v>
      </c>
      <c r="E12" s="57">
        <v>20</v>
      </c>
      <c r="F12" s="57">
        <f t="shared" ref="F12" si="0">E12/8</f>
        <v>2.5</v>
      </c>
      <c r="G12" s="11"/>
      <c r="H12" s="8"/>
      <c r="J12" s="11"/>
      <c r="K12" s="11"/>
      <c r="L12" s="99"/>
      <c r="M12" s="98"/>
      <c r="N12" s="11"/>
      <c r="O12" s="11"/>
      <c r="P12" s="11"/>
      <c r="Q12" s="11"/>
      <c r="R12" s="11"/>
      <c r="S12" s="11"/>
      <c r="T12" s="11"/>
      <c r="U12" s="11"/>
      <c r="V12" s="11"/>
      <c r="W12" s="11"/>
      <c r="X12" s="11"/>
      <c r="Y12" s="11"/>
      <c r="Z12" s="80"/>
      <c r="AA12" s="11"/>
      <c r="AB12" s="11"/>
      <c r="AC12" s="11"/>
      <c r="AD12" s="11"/>
      <c r="AE12" s="11"/>
      <c r="AF12" s="11"/>
      <c r="AG12" s="11"/>
      <c r="AH12" s="11"/>
      <c r="AI12" s="11"/>
      <c r="AJ12" s="11"/>
      <c r="AK12" s="80"/>
      <c r="AL12" s="82"/>
      <c r="AM12" s="84"/>
      <c r="AN12" s="66"/>
      <c r="AO12" s="11"/>
      <c r="AP12" s="80"/>
      <c r="AQ12" s="8"/>
      <c r="AS12" s="11"/>
      <c r="AT12" s="11"/>
      <c r="AU12" s="11"/>
      <c r="AV12" s="11"/>
      <c r="AW12" s="82"/>
      <c r="AX12" s="84"/>
      <c r="AY12" s="11"/>
      <c r="AZ12" s="11"/>
      <c r="BA12" s="11"/>
      <c r="BB12" s="11"/>
      <c r="BC12" s="11"/>
      <c r="BD12" s="11"/>
      <c r="BE12" s="80"/>
      <c r="BF12" s="80"/>
      <c r="BG12" s="8"/>
      <c r="BI12" s="82"/>
      <c r="BJ12" s="83"/>
      <c r="BK12" s="84"/>
      <c r="BL12" s="8"/>
      <c r="BM12" s="8"/>
      <c r="BN12" s="82"/>
      <c r="BO12" s="83"/>
      <c r="BP12" s="84"/>
      <c r="BQ12" s="8"/>
      <c r="BR12" s="11"/>
      <c r="BS12" s="11"/>
      <c r="BT12" s="80"/>
      <c r="BU12" s="11"/>
      <c r="BV12" s="11"/>
      <c r="BW12" s="11"/>
      <c r="BX12" s="11"/>
      <c r="BY12" s="11"/>
      <c r="BZ12" s="11"/>
      <c r="CA12" s="8"/>
      <c r="CB12" s="8"/>
      <c r="CC12" s="8"/>
      <c r="CD12" s="8"/>
      <c r="CE12" s="8"/>
      <c r="CF12" s="8"/>
      <c r="CG12" s="8"/>
      <c r="CH12" s="8"/>
      <c r="CI12" s="8"/>
      <c r="CJ12" s="49"/>
      <c r="CK12" s="8"/>
      <c r="CL12" s="8"/>
      <c r="CM12" s="8"/>
    </row>
    <row r="13" spans="2:91" ht="45" customHeight="1">
      <c r="B13" s="88"/>
      <c r="C13" s="55" t="s">
        <v>93</v>
      </c>
      <c r="D13" s="56" t="s">
        <v>29</v>
      </c>
      <c r="E13" s="57">
        <v>22</v>
      </c>
      <c r="F13" s="57">
        <v>2.75</v>
      </c>
      <c r="G13" s="11"/>
      <c r="H13" s="8"/>
      <c r="J13" s="11"/>
      <c r="K13" s="11"/>
      <c r="L13" s="99"/>
      <c r="M13" s="98"/>
      <c r="N13" s="11"/>
      <c r="O13" s="11"/>
      <c r="P13" s="11"/>
      <c r="Q13" s="11"/>
      <c r="R13" s="11"/>
      <c r="S13" s="11"/>
      <c r="T13" s="11"/>
      <c r="U13" s="11"/>
      <c r="V13" s="11"/>
      <c r="W13" s="11"/>
      <c r="X13" s="11"/>
      <c r="Y13" s="11"/>
      <c r="Z13" s="80"/>
      <c r="AA13" s="11"/>
      <c r="AB13" s="11"/>
      <c r="AC13" s="11"/>
      <c r="AD13" s="11"/>
      <c r="AE13" s="11"/>
      <c r="AF13" s="11"/>
      <c r="AG13" s="11"/>
      <c r="AH13" s="11"/>
      <c r="AI13" s="11"/>
      <c r="AJ13" s="11"/>
      <c r="AK13" s="80"/>
      <c r="AL13" s="82"/>
      <c r="AM13" s="84"/>
      <c r="AN13" s="66"/>
      <c r="AO13" s="11"/>
      <c r="AP13" s="80"/>
      <c r="AQ13" s="8"/>
      <c r="AS13" s="11"/>
      <c r="AT13" s="11"/>
      <c r="AU13" s="11"/>
      <c r="AV13" s="11"/>
      <c r="AW13" s="82"/>
      <c r="AX13" s="84"/>
      <c r="AY13" s="11"/>
      <c r="AZ13" s="11"/>
      <c r="BA13" s="11"/>
      <c r="BB13" s="11"/>
      <c r="BC13" s="11"/>
      <c r="BD13" s="11"/>
      <c r="BE13" s="80"/>
      <c r="BF13" s="80"/>
      <c r="BG13" s="8"/>
      <c r="BI13" s="82"/>
      <c r="BJ13" s="83"/>
      <c r="BK13" s="84"/>
      <c r="BL13" s="8"/>
      <c r="BM13" s="8"/>
      <c r="BN13" s="82"/>
      <c r="BO13" s="83"/>
      <c r="BP13" s="84"/>
      <c r="BQ13" s="8"/>
      <c r="BR13" s="11"/>
      <c r="BS13" s="11"/>
      <c r="BT13" s="80"/>
      <c r="BU13" s="11"/>
      <c r="BV13" s="11"/>
      <c r="BW13" s="11"/>
      <c r="BX13" s="11"/>
      <c r="BY13" s="11"/>
      <c r="BZ13" s="11"/>
      <c r="CA13" s="8"/>
      <c r="CB13" s="8"/>
      <c r="CC13" s="8"/>
      <c r="CD13" s="8"/>
      <c r="CE13" s="8"/>
      <c r="CF13" s="8"/>
      <c r="CG13" s="8"/>
      <c r="CH13" s="8"/>
      <c r="CI13" s="8"/>
      <c r="CJ13" s="49"/>
      <c r="CK13" s="8"/>
      <c r="CL13" s="8"/>
      <c r="CM13" s="8"/>
    </row>
    <row r="14" spans="2:91" ht="34.5" customHeight="1">
      <c r="B14" s="88"/>
      <c r="C14" s="55" t="s">
        <v>94</v>
      </c>
      <c r="D14" s="56" t="s">
        <v>29</v>
      </c>
      <c r="E14" s="57">
        <v>8</v>
      </c>
      <c r="F14" s="57">
        <v>1</v>
      </c>
      <c r="G14" s="11"/>
      <c r="H14" s="8"/>
      <c r="I14" s="8"/>
      <c r="J14" s="11"/>
      <c r="K14" s="11"/>
      <c r="L14" s="99"/>
      <c r="M14" s="98"/>
      <c r="N14" s="11"/>
      <c r="O14" s="11"/>
      <c r="P14" s="11"/>
      <c r="Q14" s="11"/>
      <c r="R14" s="11"/>
      <c r="S14" s="11"/>
      <c r="T14" s="11"/>
      <c r="U14" s="11"/>
      <c r="V14" s="11"/>
      <c r="W14" s="11"/>
      <c r="X14" s="11"/>
      <c r="Y14" s="11"/>
      <c r="Z14" s="80"/>
      <c r="AA14" s="11"/>
      <c r="AB14" s="11"/>
      <c r="AC14" s="11"/>
      <c r="AD14" s="11"/>
      <c r="AE14" s="11"/>
      <c r="AF14" s="11"/>
      <c r="AG14" s="11"/>
      <c r="AH14" s="11"/>
      <c r="AI14" s="11"/>
      <c r="AJ14" s="11"/>
      <c r="AK14" s="80"/>
      <c r="AL14" s="82"/>
      <c r="AM14" s="84"/>
      <c r="AN14" s="66"/>
      <c r="AO14" s="11"/>
      <c r="AP14" s="80"/>
      <c r="AQ14" s="8"/>
      <c r="AS14" s="11"/>
      <c r="AT14" s="11"/>
      <c r="AU14" s="11"/>
      <c r="AV14" s="11"/>
      <c r="AW14" s="82"/>
      <c r="AX14" s="84"/>
      <c r="AY14" s="11"/>
      <c r="AZ14" s="11"/>
      <c r="BA14" s="11"/>
      <c r="BB14" s="11"/>
      <c r="BC14" s="11"/>
      <c r="BD14" s="11"/>
      <c r="BE14" s="80"/>
      <c r="BF14" s="80"/>
      <c r="BG14" s="8"/>
      <c r="BI14" s="82"/>
      <c r="BJ14" s="83"/>
      <c r="BK14" s="84"/>
      <c r="BL14" s="8"/>
      <c r="BM14" s="8"/>
      <c r="BN14" s="82"/>
      <c r="BO14" s="83"/>
      <c r="BP14" s="84"/>
      <c r="BQ14" s="8"/>
      <c r="BR14" s="11"/>
      <c r="BS14" s="11"/>
      <c r="BT14" s="80"/>
      <c r="BU14" s="11"/>
      <c r="BV14" s="11"/>
      <c r="BW14" s="11"/>
      <c r="BX14" s="11"/>
      <c r="BY14" s="11"/>
      <c r="BZ14" s="11"/>
      <c r="CA14" s="8"/>
      <c r="CB14" s="8"/>
      <c r="CC14" s="8"/>
      <c r="CD14" s="8"/>
      <c r="CE14" s="8"/>
      <c r="CF14" s="8"/>
      <c r="CG14" s="8"/>
      <c r="CH14" s="8"/>
      <c r="CI14" s="8"/>
      <c r="CJ14" s="49"/>
      <c r="CK14" s="8"/>
      <c r="CL14" s="8"/>
      <c r="CM14" s="8"/>
    </row>
    <row r="15" spans="2:91" ht="42.75" customHeight="1">
      <c r="B15" s="88"/>
      <c r="C15" s="55" t="s">
        <v>95</v>
      </c>
      <c r="D15" s="56" t="s">
        <v>29</v>
      </c>
      <c r="E15" s="57">
        <v>10</v>
      </c>
      <c r="F15" s="57">
        <v>1.25</v>
      </c>
      <c r="G15" s="11"/>
      <c r="H15" s="8"/>
      <c r="J15" s="11"/>
      <c r="K15" s="11"/>
      <c r="L15" s="99"/>
      <c r="M15" s="98"/>
      <c r="N15" s="11"/>
      <c r="O15" s="11"/>
      <c r="P15" s="11"/>
      <c r="Q15" s="11"/>
      <c r="R15" s="11"/>
      <c r="S15" s="11"/>
      <c r="T15" s="11"/>
      <c r="U15" s="11"/>
      <c r="V15" s="11"/>
      <c r="W15" s="11"/>
      <c r="X15" s="11"/>
      <c r="Y15" s="11"/>
      <c r="Z15" s="80"/>
      <c r="AA15" s="11"/>
      <c r="AB15" s="11"/>
      <c r="AC15" s="11"/>
      <c r="AD15" s="11"/>
      <c r="AE15" s="11"/>
      <c r="AF15" s="11"/>
      <c r="AG15" s="11"/>
      <c r="AH15" s="11"/>
      <c r="AI15" s="11"/>
      <c r="AJ15" s="11"/>
      <c r="AK15" s="80"/>
      <c r="AL15" s="82"/>
      <c r="AM15" s="84"/>
      <c r="AN15" s="66"/>
      <c r="AO15" s="11"/>
      <c r="AP15" s="80"/>
      <c r="AQ15" s="8"/>
      <c r="AS15" s="11"/>
      <c r="AT15" s="11"/>
      <c r="AU15" s="11"/>
      <c r="AV15" s="11"/>
      <c r="AW15" s="82"/>
      <c r="AX15" s="84"/>
      <c r="AY15" s="11"/>
      <c r="AZ15" s="11"/>
      <c r="BA15" s="11"/>
      <c r="BB15" s="11"/>
      <c r="BC15" s="11"/>
      <c r="BD15" s="11"/>
      <c r="BE15" s="80"/>
      <c r="BF15" s="80"/>
      <c r="BG15" s="8"/>
      <c r="BI15" s="82"/>
      <c r="BJ15" s="83"/>
      <c r="BK15" s="84"/>
      <c r="BL15" s="8"/>
      <c r="BM15" s="8"/>
      <c r="BN15" s="82"/>
      <c r="BO15" s="83"/>
      <c r="BP15" s="84"/>
      <c r="BQ15" s="8"/>
      <c r="BR15" s="11"/>
      <c r="BS15" s="11"/>
      <c r="BT15" s="80"/>
      <c r="BU15" s="11"/>
      <c r="BV15" s="11"/>
      <c r="BW15" s="11"/>
      <c r="BX15" s="11"/>
      <c r="BY15" s="11"/>
      <c r="BZ15" s="11"/>
      <c r="CA15" s="8"/>
      <c r="CB15" s="8"/>
      <c r="CC15" s="8"/>
      <c r="CD15" s="8"/>
      <c r="CE15" s="8"/>
      <c r="CF15" s="8"/>
      <c r="CG15" s="8"/>
      <c r="CH15" s="8"/>
      <c r="CI15" s="8"/>
      <c r="CJ15" s="49"/>
      <c r="CK15" s="8"/>
      <c r="CL15" s="8"/>
      <c r="CM15" s="8"/>
    </row>
    <row r="16" spans="2:91" ht="42.75" customHeight="1">
      <c r="B16" s="88"/>
      <c r="C16" s="55" t="s">
        <v>96</v>
      </c>
      <c r="D16" s="56" t="s">
        <v>29</v>
      </c>
      <c r="E16" s="57">
        <v>64</v>
      </c>
      <c r="F16" s="57">
        <v>8</v>
      </c>
      <c r="G16" s="11"/>
      <c r="H16" s="8"/>
      <c r="J16" s="11"/>
      <c r="K16" s="11"/>
      <c r="L16" s="99"/>
      <c r="M16" s="98"/>
      <c r="N16" s="11"/>
      <c r="O16" s="11"/>
      <c r="P16" s="11"/>
      <c r="Q16" s="11"/>
      <c r="R16" s="11"/>
      <c r="S16" s="11"/>
      <c r="T16" s="11"/>
      <c r="U16" s="11"/>
      <c r="V16" s="11"/>
      <c r="W16" s="11"/>
      <c r="X16" s="11"/>
      <c r="Y16" s="11"/>
      <c r="Z16" s="80"/>
      <c r="AA16" s="11"/>
      <c r="AB16" s="11"/>
      <c r="AC16" s="11"/>
      <c r="AD16" s="11"/>
      <c r="AE16" s="11"/>
      <c r="AF16" s="11"/>
      <c r="AG16" s="11"/>
      <c r="AH16" s="11"/>
      <c r="AI16" s="11"/>
      <c r="AJ16" s="11"/>
      <c r="AK16" s="80"/>
      <c r="AL16" s="82"/>
      <c r="AM16" s="84"/>
      <c r="AN16" s="66"/>
      <c r="AO16" s="11"/>
      <c r="AP16" s="80"/>
      <c r="AQ16" s="8"/>
      <c r="AS16" s="11"/>
      <c r="AT16" s="11"/>
      <c r="AU16" s="11"/>
      <c r="AV16" s="11"/>
      <c r="AW16" s="82"/>
      <c r="AX16" s="84"/>
      <c r="AY16" s="11"/>
      <c r="AZ16" s="11"/>
      <c r="BA16" s="11"/>
      <c r="BB16" s="11"/>
      <c r="BC16" s="11"/>
      <c r="BD16" s="11"/>
      <c r="BE16" s="80"/>
      <c r="BF16" s="80"/>
      <c r="BG16" s="8"/>
      <c r="BI16" s="82"/>
      <c r="BJ16" s="83"/>
      <c r="BK16" s="84"/>
      <c r="BL16" s="8"/>
      <c r="BM16" s="8"/>
      <c r="BN16" s="82"/>
      <c r="BO16" s="83"/>
      <c r="BP16" s="84"/>
      <c r="BQ16" s="8"/>
      <c r="BR16" s="11"/>
      <c r="BS16" s="11"/>
      <c r="BT16" s="80"/>
      <c r="BU16" s="11"/>
      <c r="BV16" s="11"/>
      <c r="BW16" s="11"/>
      <c r="BX16" s="11"/>
      <c r="BY16" s="11"/>
      <c r="BZ16" s="11"/>
      <c r="CA16" s="8"/>
      <c r="CB16" s="8"/>
      <c r="CC16" s="8"/>
      <c r="CD16" s="8"/>
      <c r="CE16" s="8"/>
      <c r="CF16" s="8"/>
      <c r="CG16" s="8"/>
      <c r="CH16" s="8"/>
      <c r="CI16" s="8"/>
      <c r="CJ16" s="49"/>
      <c r="CK16" s="8"/>
      <c r="CL16" s="8"/>
      <c r="CM16" s="8"/>
    </row>
    <row r="17" spans="2:91" ht="42.75" customHeight="1">
      <c r="B17" s="88"/>
      <c r="C17" s="51" t="s">
        <v>97</v>
      </c>
      <c r="D17" s="30" t="s">
        <v>29</v>
      </c>
      <c r="E17" s="3">
        <v>12</v>
      </c>
      <c r="F17" s="3">
        <v>1.5</v>
      </c>
      <c r="G17" s="11"/>
      <c r="H17" s="8"/>
      <c r="J17" s="11"/>
      <c r="K17" s="11"/>
      <c r="L17" s="99"/>
      <c r="M17" s="98"/>
      <c r="N17" s="11"/>
      <c r="O17" s="11"/>
      <c r="P17" s="11"/>
      <c r="Q17" s="11"/>
      <c r="R17" s="11"/>
      <c r="S17" s="11"/>
      <c r="T17" s="11"/>
      <c r="U17" s="11"/>
      <c r="V17" s="11"/>
      <c r="W17" s="11"/>
      <c r="X17" s="11"/>
      <c r="Y17" s="11"/>
      <c r="Z17" s="80"/>
      <c r="AA17" s="11"/>
      <c r="AB17" s="11"/>
      <c r="AC17" s="11"/>
      <c r="AD17" s="11"/>
      <c r="AE17" s="11"/>
      <c r="AF17" s="11"/>
      <c r="AG17" s="11"/>
      <c r="AH17" s="11"/>
      <c r="AI17" s="11"/>
      <c r="AJ17" s="11"/>
      <c r="AK17" s="80"/>
      <c r="AL17" s="82"/>
      <c r="AM17" s="84"/>
      <c r="AN17" s="66"/>
      <c r="AO17" s="11"/>
      <c r="AP17" s="80"/>
      <c r="AQ17" s="8"/>
      <c r="AS17" s="11"/>
      <c r="AT17" s="11"/>
      <c r="AU17" s="11"/>
      <c r="AV17" s="11"/>
      <c r="AW17" s="82"/>
      <c r="AX17" s="84"/>
      <c r="AY17" s="11"/>
      <c r="AZ17" s="11"/>
      <c r="BA17" s="11"/>
      <c r="BB17" s="74" t="s">
        <v>98</v>
      </c>
      <c r="BC17" s="11"/>
      <c r="BD17" s="11"/>
      <c r="BE17" s="80"/>
      <c r="BF17" s="80"/>
      <c r="BG17" s="8"/>
      <c r="BI17" s="82"/>
      <c r="BJ17" s="83"/>
      <c r="BK17" s="84"/>
      <c r="BL17" s="8"/>
      <c r="BM17" s="8"/>
      <c r="BN17" s="82"/>
      <c r="BO17" s="83"/>
      <c r="BP17" s="84"/>
      <c r="BQ17" s="8"/>
      <c r="BR17" s="11"/>
      <c r="BS17" s="11"/>
      <c r="BT17" s="80"/>
      <c r="BU17" s="11"/>
      <c r="BV17" s="11"/>
      <c r="BW17" s="11"/>
      <c r="BX17" s="11"/>
      <c r="BY17" s="11"/>
      <c r="BZ17" s="11"/>
      <c r="CA17" s="8"/>
      <c r="CB17" s="8"/>
      <c r="CC17" s="8"/>
      <c r="CD17" s="8"/>
      <c r="CE17" s="8"/>
      <c r="CF17" s="8"/>
      <c r="CG17" s="8"/>
      <c r="CH17" s="8"/>
      <c r="CI17" s="8"/>
      <c r="CJ17" s="49"/>
      <c r="CK17" s="8"/>
      <c r="CL17" s="8"/>
      <c r="CM17" s="8"/>
    </row>
    <row r="18" spans="2:91" ht="43.5" customHeight="1">
      <c r="B18" s="88"/>
      <c r="C18" s="51" t="s">
        <v>99</v>
      </c>
      <c r="D18" s="30" t="s">
        <v>29</v>
      </c>
      <c r="E18" s="3">
        <v>16</v>
      </c>
      <c r="F18" s="3">
        <v>2</v>
      </c>
      <c r="G18" s="11"/>
      <c r="H18" s="8"/>
      <c r="J18" s="11"/>
      <c r="K18" s="11"/>
      <c r="L18" s="99"/>
      <c r="M18" s="98"/>
      <c r="N18" s="11"/>
      <c r="O18" s="11"/>
      <c r="P18" s="11"/>
      <c r="Q18" s="11"/>
      <c r="R18" s="11"/>
      <c r="S18" s="11"/>
      <c r="T18" s="11"/>
      <c r="U18" s="11"/>
      <c r="V18" s="11"/>
      <c r="W18" s="11"/>
      <c r="X18" s="11"/>
      <c r="Y18" s="11"/>
      <c r="Z18" s="80"/>
      <c r="AA18" s="11"/>
      <c r="AB18" s="11"/>
      <c r="AC18" s="11"/>
      <c r="AD18" s="11"/>
      <c r="AE18" s="11"/>
      <c r="AF18" s="11"/>
      <c r="AG18" s="11"/>
      <c r="AH18" s="11"/>
      <c r="AI18" s="11"/>
      <c r="AJ18" s="11"/>
      <c r="AK18" s="80"/>
      <c r="AL18" s="82"/>
      <c r="AM18" s="84"/>
      <c r="AN18" s="66"/>
      <c r="AO18" s="11"/>
      <c r="AP18" s="80"/>
      <c r="AQ18" s="8"/>
      <c r="AS18" s="11"/>
      <c r="AT18" s="11"/>
      <c r="AU18" s="11"/>
      <c r="AV18" s="11"/>
      <c r="AW18" s="82"/>
      <c r="AX18" s="84"/>
      <c r="AY18" s="11"/>
      <c r="AZ18" s="11"/>
      <c r="BA18" s="11"/>
      <c r="BB18" s="11"/>
      <c r="BC18" s="11"/>
      <c r="BD18" s="11"/>
      <c r="BE18" s="80"/>
      <c r="BF18" s="80"/>
      <c r="BG18" s="8"/>
      <c r="BI18" s="82"/>
      <c r="BJ18" s="83"/>
      <c r="BK18" s="84"/>
      <c r="BL18" s="8"/>
      <c r="BM18" s="8"/>
      <c r="BN18" s="82"/>
      <c r="BO18" s="83"/>
      <c r="BP18" s="84"/>
      <c r="BQ18" s="8"/>
      <c r="BR18" s="11"/>
      <c r="BS18" s="11"/>
      <c r="BT18" s="80"/>
      <c r="BU18" s="11"/>
      <c r="BV18" s="11"/>
      <c r="BW18" s="11"/>
      <c r="BX18" s="11"/>
      <c r="BY18" s="11"/>
      <c r="BZ18" s="11"/>
      <c r="CA18" s="8"/>
      <c r="CB18" s="8"/>
      <c r="CC18" s="8"/>
      <c r="CD18" s="8"/>
      <c r="CE18" s="8"/>
      <c r="CF18" s="8"/>
      <c r="CG18" s="8"/>
      <c r="CH18" s="8"/>
      <c r="CI18" s="8"/>
      <c r="CJ18" s="49"/>
      <c r="CK18" s="8"/>
      <c r="CL18" s="8"/>
      <c r="CM18" s="8"/>
    </row>
    <row r="19" spans="2:91" ht="39.75" customHeight="1">
      <c r="B19" s="88"/>
      <c r="C19" s="51" t="s">
        <v>100</v>
      </c>
      <c r="D19" s="30" t="s">
        <v>29</v>
      </c>
      <c r="E19" s="3">
        <v>14</v>
      </c>
      <c r="F19" s="3">
        <v>1.75</v>
      </c>
      <c r="G19" s="11"/>
      <c r="H19" s="8"/>
      <c r="J19" s="11"/>
      <c r="K19" s="11"/>
      <c r="L19" s="99"/>
      <c r="M19" s="98"/>
      <c r="N19" s="11"/>
      <c r="O19" s="11"/>
      <c r="P19" s="11"/>
      <c r="Q19" s="11"/>
      <c r="R19" s="11"/>
      <c r="S19" s="11"/>
      <c r="T19" s="11"/>
      <c r="U19" s="11"/>
      <c r="V19" s="11"/>
      <c r="W19" s="11"/>
      <c r="X19" s="11"/>
      <c r="Y19" s="11"/>
      <c r="Z19" s="80"/>
      <c r="AA19" s="11"/>
      <c r="AB19" s="11"/>
      <c r="AC19" s="11"/>
      <c r="AD19" s="11"/>
      <c r="AE19" s="11"/>
      <c r="AF19" s="11"/>
      <c r="AG19" s="11"/>
      <c r="AH19" s="11"/>
      <c r="AI19" s="11"/>
      <c r="AJ19" s="11"/>
      <c r="AK19" s="80"/>
      <c r="AL19" s="82"/>
      <c r="AM19" s="84"/>
      <c r="AN19" s="66"/>
      <c r="AO19" s="11"/>
      <c r="AP19" s="80"/>
      <c r="AQ19" s="8"/>
      <c r="AS19" s="11"/>
      <c r="AT19" s="11"/>
      <c r="AU19" s="11"/>
      <c r="AV19" s="11"/>
      <c r="AW19" s="82"/>
      <c r="AX19" s="84"/>
      <c r="AY19" s="11"/>
      <c r="AZ19" s="11"/>
      <c r="BA19" s="11"/>
      <c r="BB19" s="11"/>
      <c r="BC19" s="11"/>
      <c r="BD19" s="11"/>
      <c r="BE19" s="80"/>
      <c r="BF19" s="80"/>
      <c r="BG19" s="8"/>
      <c r="BI19" s="82"/>
      <c r="BJ19" s="83"/>
      <c r="BK19" s="84"/>
      <c r="BL19" s="8"/>
      <c r="BM19" s="8"/>
      <c r="BN19" s="82"/>
      <c r="BO19" s="83"/>
      <c r="BP19" s="84"/>
      <c r="BQ19" s="8"/>
      <c r="BR19" s="11"/>
      <c r="BS19" s="11"/>
      <c r="BT19" s="80"/>
      <c r="BU19" s="11"/>
      <c r="BV19" s="11"/>
      <c r="BW19" s="11"/>
      <c r="BX19" s="11"/>
      <c r="BY19" s="11"/>
      <c r="BZ19" s="11"/>
      <c r="CA19" s="8"/>
      <c r="CB19" s="8"/>
      <c r="CC19" s="8"/>
      <c r="CD19" s="8"/>
      <c r="CE19" s="8"/>
      <c r="CF19" s="8"/>
      <c r="CG19" s="8"/>
      <c r="CH19" s="8"/>
      <c r="CI19" s="8"/>
      <c r="CJ19" s="49"/>
      <c r="CK19" s="8"/>
      <c r="CL19" s="8"/>
      <c r="CM19" s="8"/>
    </row>
    <row r="20" spans="2:91" ht="40.5" customHeight="1">
      <c r="B20" s="88"/>
      <c r="C20" s="51" t="s">
        <v>101</v>
      </c>
      <c r="D20" s="30" t="s">
        <v>29</v>
      </c>
      <c r="E20" s="3">
        <v>40</v>
      </c>
      <c r="F20" s="3">
        <v>5</v>
      </c>
      <c r="G20" s="11"/>
      <c r="H20" s="8"/>
      <c r="J20" s="11"/>
      <c r="K20" s="11"/>
      <c r="L20" s="99"/>
      <c r="M20" s="98"/>
      <c r="N20" s="11"/>
      <c r="O20" s="11"/>
      <c r="P20" s="11"/>
      <c r="Q20" s="11"/>
      <c r="R20" s="11"/>
      <c r="S20" s="11"/>
      <c r="T20" s="11"/>
      <c r="U20" s="11"/>
      <c r="V20" s="11"/>
      <c r="W20" s="11"/>
      <c r="X20" s="11"/>
      <c r="Y20" s="11"/>
      <c r="Z20" s="80"/>
      <c r="AA20" s="11"/>
      <c r="AB20" s="11"/>
      <c r="AC20" s="11"/>
      <c r="AD20" s="11"/>
      <c r="AE20" s="11"/>
      <c r="AF20" s="11"/>
      <c r="AG20" s="11"/>
      <c r="AH20" s="11"/>
      <c r="AI20" s="11"/>
      <c r="AJ20" s="11"/>
      <c r="AK20" s="80"/>
      <c r="AL20" s="82"/>
      <c r="AM20" s="84"/>
      <c r="AN20" s="66"/>
      <c r="AO20" s="11"/>
      <c r="AP20" s="80"/>
      <c r="AQ20" s="8"/>
      <c r="AS20" s="11"/>
      <c r="AT20" s="11"/>
      <c r="AU20" s="11"/>
      <c r="AV20" s="11"/>
      <c r="AW20" s="82"/>
      <c r="AX20" s="84"/>
      <c r="AY20" s="11"/>
      <c r="AZ20" s="11"/>
      <c r="BA20" s="11"/>
      <c r="BB20" s="11"/>
      <c r="BC20" s="11"/>
      <c r="BD20" s="11"/>
      <c r="BE20" s="80"/>
      <c r="BF20" s="80"/>
      <c r="BG20" s="8"/>
      <c r="BI20" s="82"/>
      <c r="BJ20" s="83"/>
      <c r="BK20" s="84"/>
      <c r="BL20" s="8"/>
      <c r="BM20" s="8"/>
      <c r="BN20" s="82"/>
      <c r="BO20" s="83"/>
      <c r="BP20" s="84"/>
      <c r="BQ20" s="8"/>
      <c r="BR20" s="11"/>
      <c r="BS20" s="11"/>
      <c r="BT20" s="80"/>
      <c r="BU20" s="11"/>
      <c r="BV20" s="11"/>
      <c r="BW20" s="11"/>
      <c r="BX20" s="11"/>
      <c r="BY20" s="11"/>
      <c r="BZ20" s="11"/>
      <c r="CA20" s="8"/>
      <c r="CB20" s="8"/>
      <c r="CC20" s="8"/>
      <c r="CD20" s="8"/>
      <c r="CE20" s="8"/>
      <c r="CF20" s="8"/>
      <c r="CG20" s="8"/>
      <c r="CH20" s="8"/>
      <c r="CI20" s="8"/>
      <c r="CJ20" s="49"/>
      <c r="CK20" s="8"/>
      <c r="CL20" s="8"/>
      <c r="CM20" s="8" t="s">
        <v>102</v>
      </c>
    </row>
    <row r="21" spans="2:91" ht="45.75" customHeight="1">
      <c r="B21" s="89"/>
      <c r="C21" s="51" t="s">
        <v>103</v>
      </c>
      <c r="D21" s="31" t="s">
        <v>62</v>
      </c>
      <c r="E21" s="3">
        <v>16</v>
      </c>
      <c r="F21" s="3">
        <v>2</v>
      </c>
      <c r="G21" s="11"/>
      <c r="H21" s="8"/>
      <c r="J21" s="11"/>
      <c r="K21" s="11"/>
      <c r="L21" s="99"/>
      <c r="M21" s="98"/>
      <c r="N21" s="11"/>
      <c r="O21" s="11"/>
      <c r="P21" s="11"/>
      <c r="Q21" s="11"/>
      <c r="R21" s="11"/>
      <c r="S21" s="11"/>
      <c r="T21" s="11"/>
      <c r="U21" s="11"/>
      <c r="V21" s="11"/>
      <c r="W21" s="11"/>
      <c r="X21" s="11"/>
      <c r="Y21" s="11"/>
      <c r="Z21" s="80"/>
      <c r="AA21" s="11"/>
      <c r="AB21" s="11"/>
      <c r="AC21" s="11"/>
      <c r="AD21" s="11"/>
      <c r="AE21" s="11"/>
      <c r="AF21" s="11"/>
      <c r="AG21" s="11"/>
      <c r="AH21" s="11"/>
      <c r="AI21" s="11"/>
      <c r="AJ21" s="11"/>
      <c r="AK21" s="80"/>
      <c r="AL21" s="82"/>
      <c r="AM21" s="84"/>
      <c r="AN21" s="66"/>
      <c r="AO21" s="11"/>
      <c r="AP21" s="80"/>
      <c r="AQ21" s="8"/>
      <c r="AS21" s="11"/>
      <c r="AT21" s="11"/>
      <c r="AU21" s="11"/>
      <c r="AV21" s="11"/>
      <c r="AW21" s="82"/>
      <c r="AX21" s="84"/>
      <c r="AY21" s="11"/>
      <c r="AZ21" s="11"/>
      <c r="BA21" s="11"/>
      <c r="BB21" s="11"/>
      <c r="BC21" s="11"/>
      <c r="BD21" s="11"/>
      <c r="BE21" s="80"/>
      <c r="BF21" s="80"/>
      <c r="BG21" s="8"/>
      <c r="BI21" s="82"/>
      <c r="BJ21" s="83"/>
      <c r="BK21" s="84"/>
      <c r="BL21" s="8"/>
      <c r="BM21" s="8"/>
      <c r="BN21" s="82"/>
      <c r="BO21" s="83"/>
      <c r="BP21" s="84"/>
      <c r="BQ21" s="8"/>
      <c r="BR21" s="11"/>
      <c r="BS21" s="11"/>
      <c r="BT21" s="80"/>
      <c r="BU21" s="11"/>
      <c r="BV21" s="11"/>
      <c r="BW21" s="11"/>
      <c r="BX21" s="11"/>
      <c r="BY21" s="11"/>
      <c r="BZ21" s="11"/>
      <c r="CA21" s="8"/>
      <c r="CB21" s="8"/>
      <c r="CC21" s="8"/>
      <c r="CD21" s="8"/>
      <c r="CE21" s="8"/>
      <c r="CF21" s="8"/>
      <c r="CG21" s="8"/>
      <c r="CH21" s="8"/>
      <c r="CI21" s="8"/>
      <c r="CJ21" s="49"/>
      <c r="CK21" s="8"/>
      <c r="CL21" s="8"/>
      <c r="CM21" s="8"/>
    </row>
    <row r="22" spans="2:91" ht="45.75" customHeight="1">
      <c r="B22" s="90" t="s">
        <v>9</v>
      </c>
      <c r="C22" s="51" t="s">
        <v>104</v>
      </c>
      <c r="D22" s="30" t="s">
        <v>29</v>
      </c>
      <c r="E22" s="3">
        <v>40</v>
      </c>
      <c r="F22" s="3">
        <v>5</v>
      </c>
      <c r="G22" s="11"/>
      <c r="H22" s="8"/>
      <c r="J22" s="11"/>
      <c r="K22" s="11"/>
      <c r="L22" s="99"/>
      <c r="M22" s="98"/>
      <c r="N22" s="11"/>
      <c r="O22" s="11"/>
      <c r="P22" s="11"/>
      <c r="Q22" s="11"/>
      <c r="R22" s="11"/>
      <c r="S22" s="11"/>
      <c r="T22" s="11"/>
      <c r="U22" s="11"/>
      <c r="V22" s="11"/>
      <c r="W22" s="11"/>
      <c r="X22" s="11"/>
      <c r="Y22" s="11"/>
      <c r="Z22" s="80"/>
      <c r="AA22" s="11"/>
      <c r="AB22" s="11"/>
      <c r="AC22" s="11"/>
      <c r="AD22" s="11"/>
      <c r="AE22" s="11"/>
      <c r="AF22" s="11"/>
      <c r="AG22" s="11"/>
      <c r="AH22" s="11"/>
      <c r="AI22" s="11"/>
      <c r="AJ22" s="11"/>
      <c r="AK22" s="80"/>
      <c r="AL22" s="82"/>
      <c r="AM22" s="84"/>
      <c r="AN22" s="66"/>
      <c r="AO22" s="11"/>
      <c r="AP22" s="80"/>
      <c r="AQ22" s="8"/>
      <c r="AS22" s="11"/>
      <c r="AT22" s="11"/>
      <c r="AU22" s="11"/>
      <c r="AV22" s="11"/>
      <c r="AW22" s="82"/>
      <c r="AX22" s="84"/>
      <c r="AY22" s="11"/>
      <c r="AZ22" s="11"/>
      <c r="BA22" s="11"/>
      <c r="BB22" s="11"/>
      <c r="BC22" s="11"/>
      <c r="BD22" s="11"/>
      <c r="BE22" s="80"/>
      <c r="BF22" s="80"/>
      <c r="BG22" s="8"/>
      <c r="BI22" s="82"/>
      <c r="BJ22" s="83"/>
      <c r="BK22" s="84"/>
      <c r="BL22" s="8"/>
      <c r="BM22" s="8"/>
      <c r="BN22" s="82"/>
      <c r="BO22" s="83"/>
      <c r="BP22" s="84"/>
      <c r="BQ22" s="8"/>
      <c r="BR22" s="11"/>
      <c r="BS22" s="11"/>
      <c r="BT22" s="80"/>
      <c r="BU22" s="11"/>
      <c r="BV22" s="11"/>
      <c r="BW22" s="11"/>
      <c r="BX22" s="11"/>
      <c r="BY22" s="11"/>
      <c r="BZ22" s="11"/>
      <c r="CA22" s="8"/>
      <c r="CB22" s="8"/>
      <c r="CC22" s="8"/>
      <c r="CD22" s="8"/>
      <c r="CE22" s="8"/>
      <c r="CF22" s="8"/>
      <c r="CG22" s="8"/>
      <c r="CH22" s="8"/>
      <c r="CI22" s="8"/>
      <c r="CJ22" s="49"/>
      <c r="CK22" s="8"/>
      <c r="CL22" s="8"/>
      <c r="CM22" s="8"/>
    </row>
    <row r="23" spans="2:91" ht="44.25" customHeight="1">
      <c r="B23" s="88"/>
      <c r="C23" s="76" t="s">
        <v>105</v>
      </c>
      <c r="D23" s="77" t="s">
        <v>29</v>
      </c>
      <c r="E23" s="75">
        <v>20</v>
      </c>
      <c r="F23" s="75">
        <v>3</v>
      </c>
      <c r="G23" s="11"/>
      <c r="H23" s="8"/>
      <c r="J23" s="11"/>
      <c r="K23" s="11"/>
      <c r="L23" s="99"/>
      <c r="M23" s="98"/>
      <c r="N23" s="11"/>
      <c r="O23" s="11"/>
      <c r="P23" s="11"/>
      <c r="Q23" s="11"/>
      <c r="R23" s="11"/>
      <c r="S23" s="11"/>
      <c r="T23" s="11"/>
      <c r="U23" s="11"/>
      <c r="V23" s="11"/>
      <c r="W23" s="11"/>
      <c r="X23" s="11"/>
      <c r="Y23" s="11"/>
      <c r="Z23" s="80"/>
      <c r="AA23" s="11"/>
      <c r="AB23" s="11"/>
      <c r="AC23" s="11"/>
      <c r="AD23" s="11"/>
      <c r="AE23" s="11"/>
      <c r="AF23" s="11"/>
      <c r="AG23" s="11"/>
      <c r="AH23" s="11"/>
      <c r="AI23" s="11"/>
      <c r="AJ23" s="11"/>
      <c r="AK23" s="80"/>
      <c r="AL23" s="82"/>
      <c r="AM23" s="84"/>
      <c r="AN23" s="66"/>
      <c r="AO23" s="11"/>
      <c r="AP23" s="80"/>
      <c r="AQ23" s="8"/>
      <c r="AS23" s="11"/>
      <c r="AT23" s="11"/>
      <c r="AU23" s="11"/>
      <c r="AV23" s="11"/>
      <c r="AW23" s="82"/>
      <c r="AX23" s="84"/>
      <c r="AY23" s="11"/>
      <c r="AZ23" s="11"/>
      <c r="BA23" s="11"/>
      <c r="BB23" s="11"/>
      <c r="BC23" s="11"/>
      <c r="BD23" s="11"/>
      <c r="BE23" s="80"/>
      <c r="BF23" s="80"/>
      <c r="BG23" s="8"/>
      <c r="BI23" s="82"/>
      <c r="BJ23" s="83"/>
      <c r="BK23" s="84"/>
      <c r="BL23" s="8"/>
      <c r="BM23" s="8"/>
      <c r="BN23" s="82"/>
      <c r="BO23" s="83"/>
      <c r="BP23" s="84"/>
      <c r="BQ23" s="8"/>
      <c r="BR23" s="11"/>
      <c r="BS23" s="11"/>
      <c r="BT23" s="80"/>
      <c r="BU23" s="11"/>
      <c r="BV23" s="11"/>
      <c r="BW23" s="11"/>
      <c r="BX23" s="11"/>
      <c r="BY23" s="11"/>
      <c r="BZ23" s="11"/>
      <c r="CA23" s="8"/>
      <c r="CB23" s="8"/>
      <c r="CC23" s="8"/>
      <c r="CD23" s="8"/>
      <c r="CE23" s="8"/>
      <c r="CF23" s="8"/>
      <c r="CG23" s="8"/>
      <c r="CH23" s="8"/>
      <c r="CI23" s="8"/>
      <c r="CJ23" s="49"/>
      <c r="CK23" s="8"/>
      <c r="CL23" s="8"/>
      <c r="CM23" s="8"/>
    </row>
    <row r="24" spans="2:91" ht="47.25" customHeight="1">
      <c r="B24" s="89"/>
      <c r="C24" s="51" t="s">
        <v>106</v>
      </c>
      <c r="D24" s="32" t="s">
        <v>29</v>
      </c>
      <c r="E24" s="3">
        <v>40</v>
      </c>
      <c r="F24" s="3">
        <v>5</v>
      </c>
      <c r="G24" s="11"/>
      <c r="H24" s="8"/>
      <c r="J24" s="11"/>
      <c r="K24" s="11"/>
      <c r="L24" s="99"/>
      <c r="M24" s="98"/>
      <c r="N24" s="11"/>
      <c r="O24" s="11"/>
      <c r="P24" s="11"/>
      <c r="Q24" s="11"/>
      <c r="R24" s="11"/>
      <c r="S24" s="11"/>
      <c r="T24" s="11"/>
      <c r="U24" s="11"/>
      <c r="V24" s="11"/>
      <c r="W24" s="11"/>
      <c r="X24" s="11"/>
      <c r="Y24" s="11"/>
      <c r="Z24" s="80"/>
      <c r="AA24" s="11"/>
      <c r="AB24" s="11"/>
      <c r="AC24" s="11"/>
      <c r="AD24" s="11"/>
      <c r="AE24" s="11"/>
      <c r="AF24" s="11"/>
      <c r="AG24" s="11"/>
      <c r="AH24" s="11"/>
      <c r="AI24" s="11"/>
      <c r="AJ24" s="11"/>
      <c r="AK24" s="80"/>
      <c r="AL24" s="82"/>
      <c r="AM24" s="84"/>
      <c r="AN24" s="66"/>
      <c r="AO24" s="11"/>
      <c r="AP24" s="80"/>
      <c r="AQ24" s="8"/>
      <c r="AS24" s="11"/>
      <c r="AT24" s="11"/>
      <c r="AU24" s="11"/>
      <c r="AV24" s="11"/>
      <c r="AW24" s="82"/>
      <c r="AX24" s="84"/>
      <c r="AY24" s="11"/>
      <c r="AZ24" s="11"/>
      <c r="BA24" s="11"/>
      <c r="BB24" s="11"/>
      <c r="BC24" s="11"/>
      <c r="BD24" s="11"/>
      <c r="BE24" s="80"/>
      <c r="BF24" s="80"/>
      <c r="BG24" s="8"/>
      <c r="BI24" s="82"/>
      <c r="BJ24" s="83"/>
      <c r="BK24" s="84"/>
      <c r="BL24" s="8"/>
      <c r="BM24" s="8"/>
      <c r="BN24" s="82"/>
      <c r="BO24" s="83"/>
      <c r="BP24" s="84"/>
      <c r="BQ24" s="8"/>
      <c r="BR24" s="11"/>
      <c r="BS24" s="11"/>
      <c r="BT24" s="80"/>
      <c r="BU24" s="11"/>
      <c r="BV24" s="11"/>
      <c r="BW24" s="11"/>
      <c r="BX24" s="11"/>
      <c r="BY24" s="11"/>
      <c r="BZ24" s="11"/>
      <c r="CA24" s="8"/>
      <c r="CB24" s="8"/>
      <c r="CC24" s="8"/>
      <c r="CD24" s="8"/>
      <c r="CE24" s="8"/>
      <c r="CF24" s="8"/>
      <c r="CG24" s="8"/>
      <c r="CH24" s="8"/>
      <c r="CI24" s="8"/>
      <c r="CJ24" s="49"/>
      <c r="CK24" s="8"/>
      <c r="CL24" s="8"/>
      <c r="CM24" s="8"/>
    </row>
    <row r="25" spans="2:91" ht="47.25" customHeight="1">
      <c r="B25" s="90" t="s">
        <v>12</v>
      </c>
      <c r="C25" s="51" t="s">
        <v>107</v>
      </c>
      <c r="D25" s="31" t="s">
        <v>65</v>
      </c>
      <c r="E25" s="3">
        <v>16</v>
      </c>
      <c r="F25" s="3">
        <f t="shared" ref="F25" si="1">E25/8</f>
        <v>2</v>
      </c>
      <c r="G25" s="11"/>
      <c r="H25" s="8"/>
      <c r="J25" s="11"/>
      <c r="K25" s="11"/>
      <c r="L25" s="99"/>
      <c r="M25" s="98"/>
      <c r="N25" s="11"/>
      <c r="O25" s="11"/>
      <c r="P25" s="11"/>
      <c r="Q25" s="11"/>
      <c r="R25" s="11"/>
      <c r="S25" s="11"/>
      <c r="T25" s="11"/>
      <c r="U25" s="11"/>
      <c r="V25" s="11"/>
      <c r="W25" s="11"/>
      <c r="X25" s="11"/>
      <c r="Y25" s="11"/>
      <c r="Z25" s="80"/>
      <c r="AA25" s="11"/>
      <c r="AB25" s="11"/>
      <c r="AC25" s="11"/>
      <c r="AD25" s="11"/>
      <c r="AE25" s="11"/>
      <c r="AF25" s="11"/>
      <c r="AG25" s="11"/>
      <c r="AH25" s="11"/>
      <c r="AI25" s="11"/>
      <c r="AJ25" s="11"/>
      <c r="AK25" s="80"/>
      <c r="AL25" s="82"/>
      <c r="AM25" s="84"/>
      <c r="AN25" s="66"/>
      <c r="AO25" s="11"/>
      <c r="AP25" s="80"/>
      <c r="AQ25" s="8"/>
      <c r="AS25" s="11"/>
      <c r="AT25" s="11"/>
      <c r="AU25" s="11"/>
      <c r="AV25" s="11"/>
      <c r="AW25" s="82"/>
      <c r="AX25" s="84"/>
      <c r="AY25" s="11"/>
      <c r="AZ25" s="11"/>
      <c r="BA25" s="11"/>
      <c r="BB25" s="11"/>
      <c r="BC25" s="11"/>
      <c r="BD25" s="11"/>
      <c r="BE25" s="80"/>
      <c r="BF25" s="80"/>
      <c r="BG25" s="8"/>
      <c r="BI25" s="82"/>
      <c r="BJ25" s="83"/>
      <c r="BK25" s="84"/>
      <c r="BL25" s="8"/>
      <c r="BM25" s="8"/>
      <c r="BN25" s="82"/>
      <c r="BO25" s="83"/>
      <c r="BP25" s="84"/>
      <c r="BQ25" s="8"/>
      <c r="BR25" s="11"/>
      <c r="BS25" s="11"/>
      <c r="BT25" s="80"/>
      <c r="BU25" s="11"/>
      <c r="BV25" s="11"/>
      <c r="BW25" s="11"/>
      <c r="BX25" s="11"/>
      <c r="BY25" s="11"/>
      <c r="BZ25" s="11"/>
      <c r="CA25" s="8"/>
      <c r="CB25" s="8"/>
      <c r="CC25" s="8"/>
      <c r="CD25" s="8"/>
      <c r="CE25" s="8"/>
      <c r="CF25" s="8"/>
      <c r="CG25" s="8"/>
      <c r="CH25" s="8"/>
      <c r="CI25" s="8"/>
      <c r="CJ25" s="49"/>
      <c r="CK25" s="8"/>
      <c r="CL25" s="8"/>
      <c r="CM25" s="8"/>
    </row>
    <row r="26" spans="2:91" ht="47.25" customHeight="1">
      <c r="B26" s="89"/>
      <c r="C26" s="51" t="s">
        <v>108</v>
      </c>
      <c r="D26" s="32" t="s">
        <v>29</v>
      </c>
      <c r="E26" s="3">
        <v>14</v>
      </c>
      <c r="F26" s="3">
        <v>1.75</v>
      </c>
      <c r="G26" s="11"/>
      <c r="H26" s="8"/>
      <c r="J26" s="11"/>
      <c r="K26" s="11"/>
      <c r="L26" s="99"/>
      <c r="M26" s="98"/>
      <c r="N26" s="11"/>
      <c r="O26" s="11"/>
      <c r="P26" s="11"/>
      <c r="Q26" s="11"/>
      <c r="R26" s="11"/>
      <c r="S26" s="11"/>
      <c r="T26" s="11"/>
      <c r="U26" s="11"/>
      <c r="V26" s="11"/>
      <c r="W26" s="11"/>
      <c r="X26" s="11"/>
      <c r="Y26" s="11"/>
      <c r="Z26" s="80"/>
      <c r="AA26" s="11"/>
      <c r="AB26" s="11"/>
      <c r="AC26" s="11"/>
      <c r="AD26" s="11"/>
      <c r="AE26" s="11"/>
      <c r="AF26" s="11"/>
      <c r="AG26" s="11"/>
      <c r="AH26" s="11"/>
      <c r="AI26" s="11"/>
      <c r="AJ26" s="11"/>
      <c r="AK26" s="80"/>
      <c r="AL26" s="82"/>
      <c r="AM26" s="84"/>
      <c r="AN26" s="66"/>
      <c r="AO26" s="11"/>
      <c r="AP26" s="80"/>
      <c r="AQ26" s="8"/>
      <c r="AS26" s="11"/>
      <c r="AT26" s="11"/>
      <c r="AU26" s="11"/>
      <c r="AV26" s="11"/>
      <c r="AW26" s="82"/>
      <c r="AX26" s="84"/>
      <c r="AY26" s="11"/>
      <c r="AZ26" s="11"/>
      <c r="BA26" s="11"/>
      <c r="BB26" s="11"/>
      <c r="BC26" s="11"/>
      <c r="BD26" s="11"/>
      <c r="BE26" s="80"/>
      <c r="BF26" s="80"/>
      <c r="BG26" s="8"/>
      <c r="BI26" s="82"/>
      <c r="BJ26" s="83"/>
      <c r="BK26" s="84"/>
      <c r="BL26" s="8"/>
      <c r="BM26" s="8"/>
      <c r="BN26" s="82"/>
      <c r="BO26" s="83"/>
      <c r="BP26" s="84"/>
      <c r="BQ26" s="8"/>
      <c r="BR26" s="11"/>
      <c r="BS26" s="11"/>
      <c r="BT26" s="80"/>
      <c r="BU26" s="11"/>
      <c r="BV26" s="11"/>
      <c r="BW26" s="11"/>
      <c r="BX26" s="11"/>
      <c r="BY26" s="11"/>
      <c r="BZ26" s="11"/>
      <c r="CA26" s="8"/>
      <c r="CB26" s="8"/>
      <c r="CC26" s="8"/>
      <c r="CD26" s="8"/>
      <c r="CE26" s="8"/>
      <c r="CF26" s="8"/>
      <c r="CG26" s="8"/>
      <c r="CH26" s="8"/>
      <c r="CI26" s="8"/>
      <c r="CJ26" s="49"/>
      <c r="CK26" s="8"/>
      <c r="CL26" s="8"/>
      <c r="CM26" s="8"/>
    </row>
    <row r="27" spans="2:91" ht="47.25" customHeight="1">
      <c r="B27" s="90" t="s">
        <v>15</v>
      </c>
      <c r="C27" s="51" t="s">
        <v>109</v>
      </c>
      <c r="D27" s="32" t="s">
        <v>29</v>
      </c>
      <c r="E27" s="3">
        <v>20</v>
      </c>
      <c r="F27" s="3">
        <v>3</v>
      </c>
      <c r="G27" s="11"/>
      <c r="H27" s="8"/>
      <c r="J27" s="11"/>
      <c r="K27" s="11"/>
      <c r="L27" s="99"/>
      <c r="M27" s="98"/>
      <c r="N27" s="11"/>
      <c r="O27" s="11"/>
      <c r="P27" s="11"/>
      <c r="Q27" s="11"/>
      <c r="R27" s="11"/>
      <c r="S27" s="11"/>
      <c r="T27" s="11"/>
      <c r="U27" s="11"/>
      <c r="V27" s="11"/>
      <c r="W27" s="11"/>
      <c r="X27" s="11"/>
      <c r="Y27" s="11"/>
      <c r="Z27" s="80"/>
      <c r="AA27" s="11"/>
      <c r="AB27" s="11"/>
      <c r="AC27" s="11"/>
      <c r="AD27" s="11"/>
      <c r="AE27" s="11"/>
      <c r="AF27" s="11"/>
      <c r="AG27" s="11"/>
      <c r="AH27" s="11"/>
      <c r="AI27" s="11"/>
      <c r="AJ27" s="11"/>
      <c r="AK27" s="80"/>
      <c r="AL27" s="82"/>
      <c r="AM27" s="84"/>
      <c r="AN27" s="66"/>
      <c r="AO27" s="11"/>
      <c r="AP27" s="80"/>
      <c r="AQ27" s="8"/>
      <c r="AS27" s="11"/>
      <c r="AT27" s="11"/>
      <c r="AU27" s="11"/>
      <c r="AV27" s="11"/>
      <c r="AW27" s="82"/>
      <c r="AX27" s="84"/>
      <c r="AY27" s="11"/>
      <c r="AZ27" s="11"/>
      <c r="BA27" s="11"/>
      <c r="BB27" s="11"/>
      <c r="BC27" s="11"/>
      <c r="BD27" s="11"/>
      <c r="BE27" s="80"/>
      <c r="BF27" s="80"/>
      <c r="BG27" s="8"/>
      <c r="BI27" s="82"/>
      <c r="BJ27" s="83"/>
      <c r="BK27" s="84"/>
      <c r="BL27" s="8"/>
      <c r="BM27" s="8"/>
      <c r="BN27" s="82"/>
      <c r="BO27" s="83"/>
      <c r="BP27" s="84"/>
      <c r="BQ27" s="8"/>
      <c r="BR27" s="11"/>
      <c r="BS27" s="11"/>
      <c r="BT27" s="80"/>
      <c r="BU27" s="11"/>
      <c r="BV27" s="11"/>
      <c r="BW27" s="11"/>
      <c r="BX27" s="11"/>
      <c r="BY27" s="11"/>
      <c r="BZ27" s="11"/>
      <c r="CA27" s="8"/>
      <c r="CB27" s="8"/>
      <c r="CC27" s="8"/>
      <c r="CD27" s="8"/>
      <c r="CE27" s="8"/>
      <c r="CF27" s="8"/>
      <c r="CG27" s="8"/>
      <c r="CH27" s="8"/>
      <c r="CI27" s="8"/>
      <c r="CJ27" s="49"/>
      <c r="CK27" s="8"/>
      <c r="CL27" s="8"/>
      <c r="CM27" s="8"/>
    </row>
    <row r="28" spans="2:91" ht="47.25" customHeight="1">
      <c r="B28" s="88"/>
      <c r="C28" s="2" t="s">
        <v>64</v>
      </c>
      <c r="D28" s="31" t="s">
        <v>65</v>
      </c>
      <c r="E28" s="3">
        <v>2</v>
      </c>
      <c r="F28" s="3">
        <v>0.3</v>
      </c>
      <c r="G28" s="11"/>
      <c r="H28" s="8"/>
      <c r="J28" s="11"/>
      <c r="K28" s="11"/>
      <c r="L28" s="99"/>
      <c r="M28" s="98"/>
      <c r="N28" s="11"/>
      <c r="O28" s="11"/>
      <c r="P28" s="11"/>
      <c r="Q28" s="11"/>
      <c r="R28" s="11"/>
      <c r="S28" s="11"/>
      <c r="T28" s="11"/>
      <c r="U28" s="11"/>
      <c r="V28" s="11"/>
      <c r="W28" s="11"/>
      <c r="X28" s="11"/>
      <c r="Y28" s="11"/>
      <c r="Z28" s="80"/>
      <c r="AA28" s="11"/>
      <c r="AB28" s="11"/>
      <c r="AC28" s="11"/>
      <c r="AD28" s="11"/>
      <c r="AE28" s="11"/>
      <c r="AF28" s="11"/>
      <c r="AG28" s="11"/>
      <c r="AH28" s="11"/>
      <c r="AI28" s="11"/>
      <c r="AJ28" s="11"/>
      <c r="AK28" s="80"/>
      <c r="AL28" s="82"/>
      <c r="AM28" s="84"/>
      <c r="AN28" s="66"/>
      <c r="AO28" s="11"/>
      <c r="AP28" s="80"/>
      <c r="AQ28" s="8"/>
      <c r="AS28" s="11"/>
      <c r="AT28" s="11"/>
      <c r="AU28" s="11"/>
      <c r="AV28" s="11"/>
      <c r="AW28" s="82"/>
      <c r="AX28" s="84"/>
      <c r="AY28" s="11"/>
      <c r="AZ28" s="11"/>
      <c r="BA28" s="11"/>
      <c r="BB28" s="11"/>
      <c r="BC28" s="11"/>
      <c r="BD28" s="11"/>
      <c r="BE28" s="80"/>
      <c r="BF28" s="80"/>
      <c r="BG28" s="8"/>
      <c r="BI28" s="82"/>
      <c r="BJ28" s="83"/>
      <c r="BK28" s="84"/>
      <c r="BL28" s="8"/>
      <c r="BM28" s="8"/>
      <c r="BN28" s="82"/>
      <c r="BO28" s="83"/>
      <c r="BP28" s="84"/>
      <c r="BQ28" s="8"/>
      <c r="BR28" s="11"/>
      <c r="BS28" s="11"/>
      <c r="BT28" s="80"/>
      <c r="BU28" s="11"/>
      <c r="BV28" s="11"/>
      <c r="BW28" s="11"/>
      <c r="BX28" s="11"/>
      <c r="BY28" s="11"/>
      <c r="BZ28" s="11"/>
      <c r="CA28" s="8"/>
      <c r="CB28" s="8"/>
      <c r="CC28" s="8"/>
      <c r="CD28" s="8"/>
      <c r="CE28" s="8"/>
      <c r="CF28" s="8"/>
      <c r="CG28" s="8"/>
      <c r="CH28" s="8"/>
      <c r="CI28" s="8"/>
      <c r="CJ28" s="49"/>
      <c r="CK28" s="8"/>
      <c r="CL28" s="8"/>
      <c r="CM28" s="8"/>
    </row>
    <row r="29" spans="2:91" ht="47.25" customHeight="1">
      <c r="B29" s="88"/>
      <c r="C29" s="2" t="s">
        <v>66</v>
      </c>
      <c r="D29" s="33" t="s">
        <v>62</v>
      </c>
      <c r="E29" s="3">
        <v>2</v>
      </c>
      <c r="F29" s="3">
        <v>0.3</v>
      </c>
      <c r="G29" s="11"/>
      <c r="H29" s="8"/>
      <c r="J29" s="11"/>
      <c r="K29" s="11"/>
      <c r="L29" s="99"/>
      <c r="M29" s="98"/>
      <c r="N29" s="11"/>
      <c r="O29" s="11"/>
      <c r="P29" s="11"/>
      <c r="Q29" s="11"/>
      <c r="R29" s="11"/>
      <c r="S29" s="11"/>
      <c r="T29" s="11"/>
      <c r="U29" s="11"/>
      <c r="V29" s="11"/>
      <c r="W29" s="11"/>
      <c r="X29" s="11"/>
      <c r="Y29" s="11"/>
      <c r="Z29" s="80"/>
      <c r="AA29" s="11"/>
      <c r="AB29" s="11"/>
      <c r="AC29" s="11"/>
      <c r="AD29" s="11"/>
      <c r="AE29" s="11"/>
      <c r="AF29" s="11"/>
      <c r="AG29" s="11"/>
      <c r="AH29" s="11"/>
      <c r="AI29" s="11"/>
      <c r="AJ29" s="11"/>
      <c r="AK29" s="80"/>
      <c r="AL29" s="82"/>
      <c r="AM29" s="84"/>
      <c r="AN29" s="66"/>
      <c r="AO29" s="11"/>
      <c r="AP29" s="80"/>
      <c r="AQ29" s="8"/>
      <c r="AS29" s="11"/>
      <c r="AT29" s="11"/>
      <c r="AU29" s="11"/>
      <c r="AV29" s="11"/>
      <c r="AW29" s="82"/>
      <c r="AX29" s="84"/>
      <c r="AY29" s="11"/>
      <c r="AZ29" s="11"/>
      <c r="BA29" s="11"/>
      <c r="BB29" s="11"/>
      <c r="BC29" s="11"/>
      <c r="BD29" s="11"/>
      <c r="BE29" s="80"/>
      <c r="BF29" s="80"/>
      <c r="BG29" s="8"/>
      <c r="BI29" s="82"/>
      <c r="BJ29" s="83"/>
      <c r="BK29" s="84"/>
      <c r="BL29" s="8"/>
      <c r="BM29" s="8"/>
      <c r="BN29" s="82"/>
      <c r="BO29" s="83"/>
      <c r="BP29" s="84"/>
      <c r="BQ29" s="8"/>
      <c r="BR29" s="11"/>
      <c r="BS29" s="11"/>
      <c r="BT29" s="80"/>
      <c r="BU29" s="11"/>
      <c r="BV29" s="11"/>
      <c r="BW29" s="11"/>
      <c r="BX29" s="11"/>
      <c r="BY29" s="11"/>
      <c r="BZ29" s="11"/>
      <c r="CA29" s="8"/>
      <c r="CB29" s="8"/>
      <c r="CC29" s="8"/>
      <c r="CD29" s="8"/>
      <c r="CE29" s="8"/>
      <c r="CF29" s="8"/>
      <c r="CG29" s="8"/>
      <c r="CH29" s="8"/>
      <c r="CI29" s="8"/>
      <c r="CJ29" s="49"/>
      <c r="CK29" s="8"/>
      <c r="CL29" s="8"/>
      <c r="CM29" s="8"/>
    </row>
    <row r="30" spans="2:91" ht="47.25" customHeight="1">
      <c r="B30" s="88"/>
      <c r="C30" s="28" t="s">
        <v>68</v>
      </c>
      <c r="D30" s="33" t="s">
        <v>62</v>
      </c>
      <c r="E30" s="3" t="s">
        <v>110</v>
      </c>
      <c r="F30" s="3" t="s">
        <v>110</v>
      </c>
      <c r="G30" s="11"/>
      <c r="H30" s="8"/>
      <c r="J30" s="11"/>
      <c r="K30" s="11"/>
      <c r="L30" s="99"/>
      <c r="M30" s="98"/>
      <c r="N30" s="11"/>
      <c r="O30" s="11"/>
      <c r="P30" s="11"/>
      <c r="Q30" s="11"/>
      <c r="R30" s="11"/>
      <c r="S30" s="11"/>
      <c r="T30" s="11"/>
      <c r="U30" s="11"/>
      <c r="V30" s="11"/>
      <c r="W30" s="11"/>
      <c r="X30" s="11"/>
      <c r="Y30" s="11"/>
      <c r="Z30" s="80"/>
      <c r="AA30" s="11"/>
      <c r="AB30" s="11"/>
      <c r="AC30" s="11"/>
      <c r="AD30" s="11"/>
      <c r="AE30" s="11"/>
      <c r="AF30" s="11"/>
      <c r="AG30" s="11"/>
      <c r="AH30" s="11"/>
      <c r="AI30" s="11"/>
      <c r="AJ30" s="11"/>
      <c r="AK30" s="80"/>
      <c r="AL30" s="82"/>
      <c r="AM30" s="84"/>
      <c r="AN30" s="66"/>
      <c r="AO30" s="11"/>
      <c r="AP30" s="80"/>
      <c r="AQ30" s="8"/>
      <c r="AS30" s="11"/>
      <c r="AT30" s="11"/>
      <c r="AU30" s="11"/>
      <c r="AV30" s="11"/>
      <c r="AW30" s="82"/>
      <c r="AX30" s="84"/>
      <c r="AY30" s="11"/>
      <c r="AZ30" s="11"/>
      <c r="BA30" s="11"/>
      <c r="BB30" s="11"/>
      <c r="BC30" s="11"/>
      <c r="BD30" s="11"/>
      <c r="BE30" s="80"/>
      <c r="BF30" s="80"/>
      <c r="BG30" s="8"/>
      <c r="BI30" s="82"/>
      <c r="BJ30" s="83"/>
      <c r="BK30" s="84"/>
      <c r="BL30" s="8"/>
      <c r="BM30" s="8"/>
      <c r="BN30" s="82"/>
      <c r="BO30" s="83"/>
      <c r="BP30" s="84"/>
      <c r="BQ30" s="8"/>
      <c r="BR30" s="11"/>
      <c r="BS30" s="11"/>
      <c r="BT30" s="80"/>
      <c r="BU30" s="11"/>
      <c r="BV30" s="11"/>
      <c r="BW30" s="11"/>
      <c r="BX30" s="11"/>
      <c r="BY30" s="11"/>
      <c r="BZ30" s="11"/>
      <c r="CA30" s="8"/>
      <c r="CB30" s="8"/>
      <c r="CC30" s="8"/>
      <c r="CD30" s="8"/>
      <c r="CE30" s="8"/>
      <c r="CF30" s="8"/>
      <c r="CG30" s="8"/>
      <c r="CH30" s="8"/>
      <c r="CI30" s="8"/>
      <c r="CJ30" s="49"/>
      <c r="CK30" s="8"/>
      <c r="CL30" s="8"/>
      <c r="CM30" s="8"/>
    </row>
    <row r="31" spans="2:91" ht="47.25" customHeight="1">
      <c r="B31" s="89"/>
      <c r="C31" s="51" t="s">
        <v>111</v>
      </c>
      <c r="D31" s="33" t="s">
        <v>62</v>
      </c>
      <c r="E31" s="3">
        <v>40</v>
      </c>
      <c r="F31" s="3">
        <v>5</v>
      </c>
      <c r="G31" s="12"/>
      <c r="H31" s="9"/>
      <c r="I31" s="13"/>
      <c r="J31" s="12"/>
      <c r="K31" s="12"/>
      <c r="L31" s="100"/>
      <c r="M31" s="101"/>
      <c r="N31" s="12"/>
      <c r="O31" s="12"/>
      <c r="P31" s="12"/>
      <c r="Q31" s="12"/>
      <c r="R31" s="12"/>
      <c r="S31" s="12"/>
      <c r="T31" s="12"/>
      <c r="U31" s="12"/>
      <c r="V31" s="12"/>
      <c r="W31" s="12"/>
      <c r="X31" s="12"/>
      <c r="Y31" s="12"/>
      <c r="Z31" s="81"/>
      <c r="AA31" s="12"/>
      <c r="AB31" s="12"/>
      <c r="AC31" s="12"/>
      <c r="AD31" s="12"/>
      <c r="AE31" s="12"/>
      <c r="AF31" s="12"/>
      <c r="AG31" s="12"/>
      <c r="AH31" s="12"/>
      <c r="AI31" s="12"/>
      <c r="AJ31" s="12"/>
      <c r="AK31" s="81"/>
      <c r="AL31" s="85"/>
      <c r="AM31" s="87"/>
      <c r="AN31" s="67"/>
      <c r="AO31" s="12"/>
      <c r="AP31" s="81"/>
      <c r="AQ31" s="9"/>
      <c r="AR31" s="13"/>
      <c r="AS31" s="12"/>
      <c r="AT31" s="12"/>
      <c r="AU31" s="12"/>
      <c r="AV31" s="12"/>
      <c r="AW31" s="85"/>
      <c r="AX31" s="87"/>
      <c r="AY31" s="12"/>
      <c r="AZ31" s="12"/>
      <c r="BA31" s="12"/>
      <c r="BB31" s="12"/>
      <c r="BC31" s="12"/>
      <c r="BD31" s="12"/>
      <c r="BE31" s="81"/>
      <c r="BF31" s="81"/>
      <c r="BG31" s="9"/>
      <c r="BH31" s="13"/>
      <c r="BI31" s="85"/>
      <c r="BJ31" s="86"/>
      <c r="BK31" s="87"/>
      <c r="BL31" s="9"/>
      <c r="BM31" s="9"/>
      <c r="BN31" s="85"/>
      <c r="BO31" s="86"/>
      <c r="BP31" s="87"/>
      <c r="BQ31" s="9"/>
      <c r="BR31" s="12"/>
      <c r="BS31" s="12"/>
      <c r="BT31" s="81"/>
      <c r="BU31" s="12"/>
      <c r="BV31" s="12"/>
      <c r="BW31" s="12"/>
      <c r="BX31" s="12"/>
      <c r="BY31" s="12"/>
      <c r="BZ31" s="12"/>
      <c r="CA31" s="9"/>
      <c r="CB31" s="9"/>
      <c r="CC31" s="9"/>
      <c r="CD31" s="9"/>
      <c r="CE31" s="9"/>
      <c r="CF31" s="9"/>
      <c r="CG31" s="9"/>
      <c r="CH31" s="9"/>
      <c r="CI31" s="9"/>
      <c r="CJ31" s="53"/>
      <c r="CK31" s="9"/>
      <c r="CL31" s="9"/>
      <c r="CM31" s="9"/>
    </row>
    <row r="32" spans="2:91">
      <c r="E32" s="36"/>
    </row>
    <row r="34" spans="2:2" ht="29.25">
      <c r="B34" s="26" t="s">
        <v>70</v>
      </c>
    </row>
    <row r="35" spans="2:2" ht="57.75">
      <c r="B35" s="26" t="s">
        <v>71</v>
      </c>
    </row>
    <row r="36" spans="2:2" ht="87">
      <c r="B36" s="26" t="s">
        <v>72</v>
      </c>
    </row>
  </sheetData>
  <mergeCells count="16">
    <mergeCell ref="AP3:AP31"/>
    <mergeCell ref="AK3:AK31"/>
    <mergeCell ref="AL3:AM31"/>
    <mergeCell ref="Z3:Z31"/>
    <mergeCell ref="L3:M31"/>
    <mergeCell ref="B3:B6"/>
    <mergeCell ref="B7:B21"/>
    <mergeCell ref="B22:B24"/>
    <mergeCell ref="B25:B26"/>
    <mergeCell ref="B27:B31"/>
    <mergeCell ref="BT3:BT31"/>
    <mergeCell ref="BI3:BK31"/>
    <mergeCell ref="BF3:BF31"/>
    <mergeCell ref="BE3:BE31"/>
    <mergeCell ref="AW3:AX31"/>
    <mergeCell ref="BN3:BP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75AD-53A1-47FB-8FD2-596D33D33B66}">
  <dimension ref="B2:CC45"/>
  <sheetViews>
    <sheetView showGridLines="0" tabSelected="1" workbookViewId="0">
      <pane xSplit="6" topLeftCell="BH1" activePane="topRight" state="frozen"/>
      <selection pane="topRight" activeCell="BO8" sqref="BO8"/>
    </sheetView>
  </sheetViews>
  <sheetFormatPr defaultRowHeight="15"/>
  <cols>
    <col min="2" max="2" width="18.85546875" customWidth="1"/>
    <col min="3" max="3" width="48.28515625" customWidth="1"/>
    <col min="4" max="4" width="14.5703125" customWidth="1"/>
    <col min="5" max="5" width="8.42578125" customWidth="1"/>
    <col min="6" max="6" width="6.28515625" customWidth="1"/>
    <col min="7" max="71" width="27" customWidth="1"/>
    <col min="72" max="110" width="30.85546875" customWidth="1"/>
  </cols>
  <sheetData>
    <row r="2" spans="2:81">
      <c r="B2" s="58" t="s">
        <v>23</v>
      </c>
      <c r="C2" s="5" t="s">
        <v>24</v>
      </c>
      <c r="D2" s="6" t="s">
        <v>25</v>
      </c>
      <c r="E2" s="6" t="s">
        <v>26</v>
      </c>
      <c r="F2" s="6" t="s">
        <v>27</v>
      </c>
      <c r="G2" s="21">
        <v>46076</v>
      </c>
      <c r="H2" s="21">
        <v>46077</v>
      </c>
      <c r="I2" s="21">
        <v>46078</v>
      </c>
      <c r="J2" s="21">
        <v>46079</v>
      </c>
      <c r="K2" s="21">
        <v>46080</v>
      </c>
      <c r="L2" s="21">
        <v>46083</v>
      </c>
      <c r="M2" s="21">
        <v>46084</v>
      </c>
      <c r="N2" s="21">
        <v>46085</v>
      </c>
      <c r="O2" s="21">
        <v>46086</v>
      </c>
      <c r="P2" s="21">
        <v>46087</v>
      </c>
      <c r="Q2" s="22">
        <v>46090</v>
      </c>
      <c r="R2" s="21">
        <v>46091</v>
      </c>
      <c r="S2" s="21">
        <v>46092</v>
      </c>
      <c r="T2" s="21">
        <v>46093</v>
      </c>
      <c r="U2" s="21">
        <v>46094</v>
      </c>
      <c r="V2" s="21">
        <v>46097</v>
      </c>
      <c r="W2" s="20">
        <v>46098</v>
      </c>
      <c r="X2" s="52">
        <v>46099</v>
      </c>
      <c r="Y2" s="20">
        <v>46100</v>
      </c>
      <c r="Z2" s="20">
        <v>46101</v>
      </c>
      <c r="AA2" s="20">
        <v>46105</v>
      </c>
      <c r="AB2" s="20">
        <v>46106</v>
      </c>
      <c r="AC2" s="20">
        <v>46107</v>
      </c>
      <c r="AD2" s="21">
        <v>46108</v>
      </c>
      <c r="AE2" s="20">
        <v>46111</v>
      </c>
      <c r="AF2" s="20">
        <v>46112</v>
      </c>
      <c r="AG2" s="20">
        <v>46113</v>
      </c>
      <c r="AH2" s="20">
        <v>46118</v>
      </c>
      <c r="AI2" s="20">
        <v>46119</v>
      </c>
      <c r="AJ2" s="20">
        <v>46120</v>
      </c>
      <c r="AK2" s="20">
        <v>46121</v>
      </c>
      <c r="AL2" s="20">
        <v>46122</v>
      </c>
      <c r="AM2" s="70">
        <v>46125</v>
      </c>
      <c r="AN2" s="70">
        <v>46126</v>
      </c>
      <c r="AO2" s="72">
        <v>46127</v>
      </c>
      <c r="AP2" s="70">
        <v>46128</v>
      </c>
      <c r="AQ2" s="70">
        <v>46129</v>
      </c>
      <c r="AR2" s="70">
        <v>46132</v>
      </c>
      <c r="AS2" s="20">
        <v>46133</v>
      </c>
      <c r="AT2" s="20">
        <v>46134</v>
      </c>
      <c r="AU2" s="20">
        <v>46135</v>
      </c>
      <c r="AV2" s="20">
        <v>46136</v>
      </c>
      <c r="AW2" s="20">
        <v>46139</v>
      </c>
      <c r="AX2" s="20">
        <v>46140</v>
      </c>
      <c r="AY2" s="20">
        <v>46141</v>
      </c>
      <c r="AZ2" s="20">
        <v>46142</v>
      </c>
      <c r="BA2" s="20">
        <v>46146</v>
      </c>
      <c r="BB2" s="20">
        <v>46147</v>
      </c>
      <c r="BC2" s="20">
        <v>46148</v>
      </c>
      <c r="BD2" s="20">
        <v>46149</v>
      </c>
      <c r="BE2" s="20">
        <v>46150</v>
      </c>
      <c r="BF2" s="20">
        <v>46153</v>
      </c>
      <c r="BG2" s="20">
        <v>46154</v>
      </c>
      <c r="BH2" s="20">
        <v>46155</v>
      </c>
      <c r="BI2" s="20">
        <v>46156</v>
      </c>
      <c r="BJ2" s="20">
        <v>46157</v>
      </c>
      <c r="BK2" s="20">
        <v>46161</v>
      </c>
      <c r="BL2" s="20">
        <v>46162</v>
      </c>
      <c r="BM2" s="20">
        <v>46163</v>
      </c>
      <c r="BN2" s="20">
        <v>46164</v>
      </c>
      <c r="BO2" s="20">
        <v>46167</v>
      </c>
      <c r="BP2" s="20">
        <v>46168</v>
      </c>
      <c r="BQ2" s="20">
        <v>46169</v>
      </c>
      <c r="BR2" s="20">
        <v>46170</v>
      </c>
      <c r="BS2" s="20">
        <v>46171</v>
      </c>
      <c r="BT2" s="20">
        <v>46174</v>
      </c>
      <c r="BU2" s="20">
        <v>46175</v>
      </c>
      <c r="BV2" s="20">
        <v>46176</v>
      </c>
      <c r="BW2" s="20">
        <v>46177</v>
      </c>
      <c r="BX2" s="20">
        <v>46178</v>
      </c>
      <c r="BY2" s="20">
        <v>46182</v>
      </c>
      <c r="BZ2" s="20">
        <v>46183</v>
      </c>
      <c r="CA2" s="20">
        <v>46184</v>
      </c>
      <c r="CB2" s="20">
        <v>46185</v>
      </c>
      <c r="CC2" s="20">
        <v>46189</v>
      </c>
    </row>
    <row r="3" spans="2:81" ht="39" customHeight="1">
      <c r="B3" s="105" t="s">
        <v>6</v>
      </c>
      <c r="C3" s="45" t="s">
        <v>112</v>
      </c>
      <c r="D3" s="61" t="s">
        <v>29</v>
      </c>
      <c r="E3" s="3">
        <v>8</v>
      </c>
      <c r="F3" s="3">
        <v>1</v>
      </c>
      <c r="G3" s="11"/>
      <c r="H3" s="11"/>
      <c r="I3" s="11"/>
      <c r="J3" s="11"/>
      <c r="K3" s="11"/>
      <c r="L3" s="11"/>
      <c r="M3" s="11"/>
      <c r="N3" s="11"/>
      <c r="O3" s="11"/>
      <c r="P3" s="11"/>
      <c r="Q3" s="11"/>
      <c r="R3" s="11"/>
      <c r="S3" s="8"/>
      <c r="U3" s="108" t="s">
        <v>113</v>
      </c>
      <c r="V3" s="109"/>
      <c r="W3" s="11"/>
      <c r="X3" s="11"/>
      <c r="Y3" s="11"/>
      <c r="Z3" s="11"/>
      <c r="AA3" s="102" t="s">
        <v>114</v>
      </c>
      <c r="AB3" s="11"/>
      <c r="AC3" s="11"/>
      <c r="AD3" s="11"/>
      <c r="AE3" s="11"/>
      <c r="AF3" s="8"/>
      <c r="AG3" s="8"/>
      <c r="AH3" s="8"/>
      <c r="AI3" s="8"/>
      <c r="AJ3" s="8"/>
      <c r="AK3" s="8"/>
      <c r="AL3" s="8"/>
      <c r="AM3" s="8"/>
      <c r="AN3" s="8"/>
      <c r="AO3" s="8"/>
      <c r="AP3" s="8"/>
      <c r="AQ3" s="8"/>
      <c r="AR3" s="8"/>
      <c r="AS3" s="8"/>
      <c r="AT3" s="80" t="s">
        <v>115</v>
      </c>
      <c r="AU3" s="8"/>
      <c r="AV3" s="8"/>
      <c r="AW3" s="8"/>
      <c r="AX3" s="8"/>
      <c r="AY3" s="8"/>
      <c r="AZ3" s="8"/>
      <c r="BA3" s="8"/>
      <c r="BB3" s="8"/>
      <c r="BC3" s="8"/>
      <c r="BD3" s="80" t="s">
        <v>116</v>
      </c>
      <c r="BE3" s="80" t="s">
        <v>117</v>
      </c>
      <c r="BF3" s="82" t="s">
        <v>118</v>
      </c>
      <c r="BG3" s="83"/>
      <c r="BH3" s="84"/>
      <c r="BI3" s="8"/>
      <c r="BJ3" s="8"/>
      <c r="BK3" s="8"/>
      <c r="BL3" s="80" t="s">
        <v>119</v>
      </c>
      <c r="BM3" s="78"/>
      <c r="BN3" s="8"/>
      <c r="BO3" s="8"/>
      <c r="BP3" s="8"/>
      <c r="BR3" s="8"/>
      <c r="BS3" s="49"/>
      <c r="BT3" s="49"/>
      <c r="BU3" s="49"/>
      <c r="BV3" s="49"/>
      <c r="BW3" s="49"/>
      <c r="BX3" s="49"/>
      <c r="BY3" s="49"/>
      <c r="BZ3" s="49"/>
      <c r="CA3" s="49"/>
      <c r="CB3" s="49"/>
      <c r="CC3" s="49"/>
    </row>
    <row r="4" spans="2:81" ht="39" customHeight="1">
      <c r="B4" s="106"/>
      <c r="C4" s="45" t="s">
        <v>120</v>
      </c>
      <c r="D4" s="61" t="s">
        <v>29</v>
      </c>
      <c r="E4" s="3">
        <v>4</v>
      </c>
      <c r="F4" s="3">
        <v>0.5</v>
      </c>
      <c r="G4" s="11"/>
      <c r="H4" s="11"/>
      <c r="I4" s="11"/>
      <c r="J4" s="11"/>
      <c r="K4" s="11"/>
      <c r="L4" s="11"/>
      <c r="M4" s="11"/>
      <c r="N4" s="11"/>
      <c r="O4" s="11"/>
      <c r="P4" s="11"/>
      <c r="Q4" s="11"/>
      <c r="R4" s="11"/>
      <c r="S4" s="8"/>
      <c r="U4" s="108"/>
      <c r="V4" s="109"/>
      <c r="W4" s="11"/>
      <c r="X4" s="11"/>
      <c r="Y4" s="11"/>
      <c r="Z4" s="11"/>
      <c r="AA4" s="102"/>
      <c r="AB4" s="11"/>
      <c r="AC4" s="11"/>
      <c r="AD4" s="11"/>
      <c r="AE4" s="11"/>
      <c r="AF4" s="8"/>
      <c r="AG4" s="8"/>
      <c r="AH4" s="8"/>
      <c r="AI4" s="8"/>
      <c r="AJ4" s="8"/>
      <c r="AK4" s="8"/>
      <c r="AL4" s="8"/>
      <c r="AM4" s="8"/>
      <c r="AN4" s="8"/>
      <c r="AO4" s="8"/>
      <c r="AP4" s="8"/>
      <c r="AQ4" s="8"/>
      <c r="AR4" s="8"/>
      <c r="AS4" s="8"/>
      <c r="AT4" s="80"/>
      <c r="AU4" s="8"/>
      <c r="AV4" s="8"/>
      <c r="AW4" s="8"/>
      <c r="AX4" s="8"/>
      <c r="AY4" s="8"/>
      <c r="AZ4" s="8"/>
      <c r="BA4" s="8"/>
      <c r="BB4" s="8"/>
      <c r="BC4" s="8"/>
      <c r="BD4" s="80"/>
      <c r="BE4" s="80"/>
      <c r="BF4" s="82"/>
      <c r="BG4" s="83"/>
      <c r="BH4" s="84"/>
      <c r="BI4" s="8"/>
      <c r="BJ4" s="8"/>
      <c r="BK4" s="8"/>
      <c r="BL4" s="80"/>
      <c r="BM4" s="78"/>
      <c r="BN4" s="8"/>
      <c r="BO4" s="8"/>
      <c r="BP4" s="8"/>
      <c r="BR4" s="8"/>
      <c r="BS4" s="49"/>
      <c r="BT4" s="49"/>
      <c r="BU4" s="49"/>
      <c r="BV4" s="49"/>
      <c r="BW4" s="49"/>
      <c r="BX4" s="49"/>
      <c r="BY4" s="49"/>
      <c r="BZ4" s="49"/>
      <c r="CA4" s="49"/>
      <c r="CB4" s="49"/>
      <c r="CC4" s="49"/>
    </row>
    <row r="5" spans="2:81" ht="39" customHeight="1">
      <c r="B5" s="106"/>
      <c r="C5" s="45" t="s">
        <v>121</v>
      </c>
      <c r="D5" s="61" t="s">
        <v>29</v>
      </c>
      <c r="E5" s="3">
        <v>4</v>
      </c>
      <c r="F5" s="3">
        <v>0.5</v>
      </c>
      <c r="G5" s="11"/>
      <c r="H5" s="11"/>
      <c r="I5" s="11"/>
      <c r="J5" s="11"/>
      <c r="K5" s="11"/>
      <c r="L5" s="11"/>
      <c r="M5" s="11"/>
      <c r="N5" s="11"/>
      <c r="O5" s="11"/>
      <c r="P5" s="11"/>
      <c r="Q5" s="11"/>
      <c r="R5" s="11"/>
      <c r="S5" s="8"/>
      <c r="U5" s="108"/>
      <c r="V5" s="109"/>
      <c r="W5" s="11"/>
      <c r="X5" s="11"/>
      <c r="Y5" s="11"/>
      <c r="Z5" s="11"/>
      <c r="AA5" s="102"/>
      <c r="AB5" s="11"/>
      <c r="AC5" s="11"/>
      <c r="AD5" s="11"/>
      <c r="AE5" s="11"/>
      <c r="AF5" s="8"/>
      <c r="AG5" s="8"/>
      <c r="AH5" s="8"/>
      <c r="AI5" s="8"/>
      <c r="AJ5" s="8"/>
      <c r="AK5" s="8"/>
      <c r="AL5" s="8"/>
      <c r="AM5" s="8"/>
      <c r="AN5" s="8"/>
      <c r="AO5" s="8"/>
      <c r="AP5" s="8"/>
      <c r="AQ5" s="8"/>
      <c r="AR5" s="8"/>
      <c r="AS5" s="8"/>
      <c r="AT5" s="80"/>
      <c r="AU5" s="8"/>
      <c r="AV5" s="8"/>
      <c r="AW5" s="8"/>
      <c r="AX5" s="8"/>
      <c r="AY5" s="8"/>
      <c r="AZ5" s="8"/>
      <c r="BA5" s="8"/>
      <c r="BB5" s="8"/>
      <c r="BC5" s="8"/>
      <c r="BD5" s="80"/>
      <c r="BE5" s="80"/>
      <c r="BF5" s="82"/>
      <c r="BG5" s="83"/>
      <c r="BH5" s="84"/>
      <c r="BI5" s="8"/>
      <c r="BJ5" s="8"/>
      <c r="BK5" s="8"/>
      <c r="BL5" s="80"/>
      <c r="BM5" s="78"/>
      <c r="BN5" s="8"/>
      <c r="BO5" s="8"/>
      <c r="BP5" s="8"/>
      <c r="BR5" s="8"/>
      <c r="BS5" s="49"/>
      <c r="BT5" s="49"/>
      <c r="BU5" s="49"/>
      <c r="BV5" s="49"/>
      <c r="BW5" s="49"/>
      <c r="BX5" s="49"/>
      <c r="BY5" s="49"/>
      <c r="BZ5" s="49"/>
      <c r="CA5" s="49"/>
      <c r="CB5" s="49"/>
      <c r="CC5" s="49"/>
    </row>
    <row r="6" spans="2:81" ht="39" customHeight="1">
      <c r="B6" s="106"/>
      <c r="C6" s="45" t="s">
        <v>122</v>
      </c>
      <c r="D6" s="61" t="s">
        <v>29</v>
      </c>
      <c r="E6" s="3">
        <v>4</v>
      </c>
      <c r="F6" s="3">
        <v>0.5</v>
      </c>
      <c r="G6" s="11"/>
      <c r="H6" s="11"/>
      <c r="I6" s="11"/>
      <c r="J6" s="11"/>
      <c r="K6" s="11"/>
      <c r="L6" s="11"/>
      <c r="M6" s="11"/>
      <c r="N6" s="11"/>
      <c r="O6" s="11"/>
      <c r="P6" s="11"/>
      <c r="Q6" s="11"/>
      <c r="R6" s="11"/>
      <c r="S6" s="8"/>
      <c r="U6" s="108"/>
      <c r="V6" s="109"/>
      <c r="W6" s="11"/>
      <c r="X6" s="11"/>
      <c r="Y6" s="11"/>
      <c r="Z6" s="11"/>
      <c r="AA6" s="102"/>
      <c r="AB6" s="11"/>
      <c r="AC6" s="11"/>
      <c r="AD6" s="11"/>
      <c r="AE6" s="11"/>
      <c r="AF6" s="8"/>
      <c r="AG6" s="8"/>
      <c r="AH6" s="8"/>
      <c r="AI6" s="8"/>
      <c r="AJ6" s="8"/>
      <c r="AK6" s="8"/>
      <c r="AL6" s="8"/>
      <c r="AM6" s="8"/>
      <c r="AN6" s="8"/>
      <c r="AO6" s="8"/>
      <c r="AP6" s="8"/>
      <c r="AQ6" s="8"/>
      <c r="AR6" s="8"/>
      <c r="AS6" s="8"/>
      <c r="AT6" s="80"/>
      <c r="AU6" s="8"/>
      <c r="AV6" s="8"/>
      <c r="AW6" s="8"/>
      <c r="AX6" s="8"/>
      <c r="AY6" s="8"/>
      <c r="AZ6" s="8"/>
      <c r="BA6" s="8"/>
      <c r="BB6" s="8"/>
      <c r="BC6" s="8"/>
      <c r="BD6" s="80"/>
      <c r="BE6" s="80"/>
      <c r="BF6" s="82"/>
      <c r="BG6" s="83"/>
      <c r="BH6" s="84"/>
      <c r="BI6" s="8"/>
      <c r="BJ6" s="8"/>
      <c r="BK6" s="8"/>
      <c r="BL6" s="80"/>
      <c r="BM6" s="78"/>
      <c r="BN6" s="8"/>
      <c r="BO6" s="8"/>
      <c r="BP6" s="8"/>
      <c r="BR6" s="8"/>
      <c r="BS6" s="49"/>
      <c r="BT6" s="49"/>
      <c r="BU6" s="49"/>
      <c r="BV6" s="49"/>
      <c r="BW6" s="49"/>
      <c r="BX6" s="49"/>
      <c r="BY6" s="49"/>
      <c r="BZ6" s="49"/>
      <c r="CA6" s="49"/>
      <c r="CB6" s="49"/>
      <c r="CC6" s="49"/>
    </row>
    <row r="7" spans="2:81" ht="39" customHeight="1">
      <c r="B7" s="106"/>
      <c r="C7" s="45" t="s">
        <v>123</v>
      </c>
      <c r="D7" s="61" t="s">
        <v>29</v>
      </c>
      <c r="E7" s="3">
        <v>4</v>
      </c>
      <c r="F7" s="3">
        <v>0.5</v>
      </c>
      <c r="G7" s="11"/>
      <c r="H7" s="11"/>
      <c r="I7" s="11"/>
      <c r="J7" s="11"/>
      <c r="K7" s="11"/>
      <c r="L7" s="11"/>
      <c r="M7" s="11"/>
      <c r="N7" s="11"/>
      <c r="O7" s="11"/>
      <c r="P7" s="11"/>
      <c r="Q7" s="11"/>
      <c r="R7" s="11"/>
      <c r="S7" s="8"/>
      <c r="U7" s="108"/>
      <c r="V7" s="109"/>
      <c r="W7" s="11"/>
      <c r="X7" s="11"/>
      <c r="Y7" s="11"/>
      <c r="Z7" s="11"/>
      <c r="AA7" s="102"/>
      <c r="AB7" s="11"/>
      <c r="AC7" s="11"/>
      <c r="AD7" s="11"/>
      <c r="AE7" s="11"/>
      <c r="AF7" s="8"/>
      <c r="AG7" s="8"/>
      <c r="AH7" s="8"/>
      <c r="AI7" s="8"/>
      <c r="AJ7" s="8"/>
      <c r="AK7" s="8"/>
      <c r="AL7" s="8"/>
      <c r="AM7" s="8"/>
      <c r="AN7" s="8"/>
      <c r="AO7" s="8"/>
      <c r="AP7" s="8"/>
      <c r="AQ7" s="8"/>
      <c r="AR7" s="8"/>
      <c r="AS7" s="8"/>
      <c r="AT7" s="80"/>
      <c r="AU7" s="8"/>
      <c r="AV7" s="8"/>
      <c r="AW7" s="8"/>
      <c r="AX7" s="8"/>
      <c r="AY7" s="8"/>
      <c r="AZ7" s="8"/>
      <c r="BA7" s="8"/>
      <c r="BB7" s="8"/>
      <c r="BC7" s="8"/>
      <c r="BD7" s="80"/>
      <c r="BE7" s="80"/>
      <c r="BF7" s="82"/>
      <c r="BG7" s="83"/>
      <c r="BH7" s="84"/>
      <c r="BI7" s="8"/>
      <c r="BJ7" s="8"/>
      <c r="BK7" s="8"/>
      <c r="BL7" s="80"/>
      <c r="BM7" s="78"/>
      <c r="BN7" s="8"/>
      <c r="BO7" s="8"/>
      <c r="BP7" s="8"/>
      <c r="BR7" s="8"/>
      <c r="BS7" s="49"/>
      <c r="BT7" s="49"/>
      <c r="BU7" s="49"/>
      <c r="BV7" s="49"/>
      <c r="BW7" s="49"/>
      <c r="BX7" s="49"/>
      <c r="BY7" s="49"/>
      <c r="BZ7" s="49"/>
      <c r="CA7" s="49"/>
      <c r="CB7" s="49"/>
      <c r="CC7" s="49"/>
    </row>
    <row r="8" spans="2:81" ht="39" customHeight="1">
      <c r="B8" s="106"/>
      <c r="C8" s="45" t="s">
        <v>124</v>
      </c>
      <c r="D8" s="61" t="s">
        <v>29</v>
      </c>
      <c r="E8" s="3">
        <v>4</v>
      </c>
      <c r="F8" s="3">
        <v>0.5</v>
      </c>
      <c r="G8" s="11"/>
      <c r="H8" s="11"/>
      <c r="I8" s="11"/>
      <c r="J8" s="11"/>
      <c r="K8" s="11"/>
      <c r="L8" s="11"/>
      <c r="M8" s="11"/>
      <c r="N8" s="11"/>
      <c r="O8" s="11"/>
      <c r="P8" s="11"/>
      <c r="Q8" s="11"/>
      <c r="R8" s="11"/>
      <c r="S8" s="8"/>
      <c r="U8" s="108"/>
      <c r="V8" s="109"/>
      <c r="W8" s="11"/>
      <c r="X8" s="11"/>
      <c r="Y8" s="11"/>
      <c r="Z8" s="11"/>
      <c r="AA8" s="102"/>
      <c r="AB8" s="11"/>
      <c r="AC8" s="11"/>
      <c r="AD8" s="11"/>
      <c r="AE8" s="11"/>
      <c r="AF8" s="8"/>
      <c r="AG8" s="8"/>
      <c r="AH8" s="8"/>
      <c r="AI8" s="8"/>
      <c r="AJ8" s="8"/>
      <c r="AK8" s="8"/>
      <c r="AL8" s="8"/>
      <c r="AM8" s="8"/>
      <c r="AN8" s="8"/>
      <c r="AO8" s="8"/>
      <c r="AP8" s="8"/>
      <c r="AQ8" s="8"/>
      <c r="AR8" s="8"/>
      <c r="AS8" s="8"/>
      <c r="AT8" s="80"/>
      <c r="AU8" s="8"/>
      <c r="AV8" s="8"/>
      <c r="AW8" s="8"/>
      <c r="AX8" s="8"/>
      <c r="AY8" s="8"/>
      <c r="AZ8" s="8"/>
      <c r="BA8" s="8"/>
      <c r="BB8" s="8"/>
      <c r="BC8" s="8"/>
      <c r="BD8" s="80"/>
      <c r="BE8" s="80"/>
      <c r="BF8" s="82"/>
      <c r="BG8" s="83"/>
      <c r="BH8" s="84"/>
      <c r="BI8" s="8"/>
      <c r="BJ8" s="8"/>
      <c r="BK8" s="8"/>
      <c r="BL8" s="80"/>
      <c r="BM8" s="78"/>
      <c r="BN8" s="8"/>
      <c r="BO8" s="8"/>
      <c r="BP8" s="8"/>
      <c r="BR8" s="8"/>
      <c r="BS8" s="49"/>
      <c r="BT8" s="49"/>
      <c r="BU8" s="49"/>
      <c r="BV8" s="49"/>
      <c r="BW8" s="49"/>
      <c r="BX8" s="49"/>
      <c r="BY8" s="49"/>
      <c r="BZ8" s="49"/>
      <c r="CA8" s="49"/>
      <c r="CB8" s="49"/>
      <c r="CC8" s="49"/>
    </row>
    <row r="9" spans="2:81" ht="39" customHeight="1">
      <c r="B9" s="106"/>
      <c r="C9" s="45" t="s">
        <v>125</v>
      </c>
      <c r="D9" s="61" t="s">
        <v>29</v>
      </c>
      <c r="E9" s="3">
        <v>8</v>
      </c>
      <c r="F9" s="3">
        <v>1</v>
      </c>
      <c r="G9" s="11"/>
      <c r="H9" s="11"/>
      <c r="I9" s="11"/>
      <c r="J9" s="11"/>
      <c r="K9" s="11"/>
      <c r="L9" s="11"/>
      <c r="M9" s="11"/>
      <c r="N9" s="11"/>
      <c r="O9" s="11"/>
      <c r="P9" s="11"/>
      <c r="Q9" s="11"/>
      <c r="R9" s="11"/>
      <c r="S9" s="8"/>
      <c r="U9" s="108"/>
      <c r="V9" s="109"/>
      <c r="W9" s="11"/>
      <c r="X9" s="11"/>
      <c r="Y9" s="11"/>
      <c r="Z9" s="11"/>
      <c r="AA9" s="102"/>
      <c r="AB9" s="11"/>
      <c r="AC9" s="11"/>
      <c r="AD9" s="11"/>
      <c r="AE9" s="11"/>
      <c r="AF9" s="8"/>
      <c r="AG9" s="8"/>
      <c r="AH9" s="8"/>
      <c r="AI9" s="8"/>
      <c r="AJ9" s="8"/>
      <c r="AK9" s="8"/>
      <c r="AL9" s="8"/>
      <c r="AM9" s="8"/>
      <c r="AN9" s="8"/>
      <c r="AO9" s="8"/>
      <c r="AP9" s="8"/>
      <c r="AQ9" s="8"/>
      <c r="AR9" s="8"/>
      <c r="AS9" s="8"/>
      <c r="AT9" s="80"/>
      <c r="AU9" s="8"/>
      <c r="AV9" s="8"/>
      <c r="AW9" s="8"/>
      <c r="AX9" s="8"/>
      <c r="AY9" s="8"/>
      <c r="AZ9" s="8"/>
      <c r="BA9" s="8"/>
      <c r="BB9" s="8"/>
      <c r="BC9" s="8"/>
      <c r="BD9" s="80"/>
      <c r="BE9" s="80"/>
      <c r="BF9" s="82"/>
      <c r="BG9" s="83"/>
      <c r="BH9" s="84"/>
      <c r="BI9" s="8"/>
      <c r="BJ9" s="8"/>
      <c r="BK9" s="8"/>
      <c r="BL9" s="80"/>
      <c r="BM9" s="78"/>
      <c r="BN9" s="8"/>
      <c r="BO9" s="8"/>
      <c r="BP9" s="8"/>
      <c r="BR9" s="8"/>
      <c r="BS9" s="49"/>
      <c r="BT9" s="49"/>
      <c r="BU9" s="49"/>
      <c r="BV9" s="49"/>
      <c r="BW9" s="49"/>
      <c r="BX9" s="49"/>
      <c r="BY9" s="49"/>
      <c r="BZ9" s="49"/>
      <c r="CA9" s="49"/>
      <c r="CB9" s="49"/>
      <c r="CC9" s="49"/>
    </row>
    <row r="10" spans="2:81" ht="39" customHeight="1">
      <c r="B10" s="107" t="s">
        <v>6</v>
      </c>
      <c r="C10" s="45" t="s">
        <v>126</v>
      </c>
      <c r="D10" s="61" t="s">
        <v>29</v>
      </c>
      <c r="E10" s="3">
        <v>6</v>
      </c>
      <c r="F10" s="3">
        <v>0.75</v>
      </c>
      <c r="G10" s="11"/>
      <c r="H10" s="11"/>
      <c r="I10" s="11"/>
      <c r="J10" s="11"/>
      <c r="K10" s="11"/>
      <c r="L10" s="11"/>
      <c r="M10" s="11"/>
      <c r="N10" s="11"/>
      <c r="O10" s="11"/>
      <c r="P10" s="11"/>
      <c r="Q10" s="11"/>
      <c r="R10" s="11"/>
      <c r="S10" s="8"/>
      <c r="U10" s="108"/>
      <c r="V10" s="109"/>
      <c r="W10" s="11"/>
      <c r="X10" s="11"/>
      <c r="Y10" s="11"/>
      <c r="Z10" s="11"/>
      <c r="AA10" s="102"/>
      <c r="AB10" s="11"/>
      <c r="AC10" s="11"/>
      <c r="AD10" s="11"/>
      <c r="AE10" s="11"/>
      <c r="AF10" s="8"/>
      <c r="AG10" s="8"/>
      <c r="AH10" s="8"/>
      <c r="AI10" s="8"/>
      <c r="AJ10" s="8"/>
      <c r="AK10" s="8"/>
      <c r="AL10" s="8"/>
      <c r="AM10" s="8"/>
      <c r="AN10" s="8"/>
      <c r="AO10" s="8"/>
      <c r="AP10" s="8"/>
      <c r="AQ10" s="8"/>
      <c r="AR10" s="8"/>
      <c r="AS10" s="8"/>
      <c r="AT10" s="80"/>
      <c r="AU10" s="8"/>
      <c r="AV10" s="8"/>
      <c r="AW10" s="8"/>
      <c r="AX10" s="8"/>
      <c r="AY10" s="8"/>
      <c r="AZ10" s="8"/>
      <c r="BA10" s="8"/>
      <c r="BB10" s="8"/>
      <c r="BC10" s="8"/>
      <c r="BD10" s="80"/>
      <c r="BE10" s="80"/>
      <c r="BF10" s="82"/>
      <c r="BG10" s="83"/>
      <c r="BH10" s="84"/>
      <c r="BI10" s="8"/>
      <c r="BJ10" s="8"/>
      <c r="BK10" s="8"/>
      <c r="BL10" s="80"/>
      <c r="BM10" s="78"/>
      <c r="BN10" s="8"/>
      <c r="BO10" s="8"/>
      <c r="BP10" s="8"/>
      <c r="BR10" s="8"/>
      <c r="BS10" s="49"/>
      <c r="BT10" s="49"/>
      <c r="BU10" s="49"/>
      <c r="BV10" s="49"/>
      <c r="BW10" s="49"/>
      <c r="BX10" s="49"/>
      <c r="BY10" s="49"/>
      <c r="BZ10" s="49"/>
      <c r="CA10" s="49"/>
      <c r="CB10" s="49"/>
      <c r="CC10" s="49"/>
    </row>
    <row r="11" spans="2:81" ht="39" customHeight="1">
      <c r="B11" s="91"/>
      <c r="C11" s="45" t="s">
        <v>127</v>
      </c>
      <c r="D11" s="61" t="s">
        <v>29</v>
      </c>
      <c r="E11" s="3">
        <v>3</v>
      </c>
      <c r="F11" s="3">
        <v>0.375</v>
      </c>
      <c r="G11" s="11"/>
      <c r="H11" s="11"/>
      <c r="I11" s="11"/>
      <c r="J11" s="11"/>
      <c r="K11" s="11"/>
      <c r="L11" s="11"/>
      <c r="M11" s="11"/>
      <c r="N11" s="11"/>
      <c r="O11" s="11"/>
      <c r="P11" s="11"/>
      <c r="Q11" s="11"/>
      <c r="R11" s="11"/>
      <c r="S11" s="8"/>
      <c r="U11" s="108"/>
      <c r="V11" s="109"/>
      <c r="W11" s="11"/>
      <c r="X11" s="11"/>
      <c r="Y11" s="11"/>
      <c r="Z11" s="11"/>
      <c r="AA11" s="102"/>
      <c r="AB11" s="11"/>
      <c r="AC11" s="11"/>
      <c r="AD11" s="11"/>
      <c r="AE11" s="11"/>
      <c r="AF11" s="8"/>
      <c r="AG11" s="8"/>
      <c r="AH11" s="8"/>
      <c r="AI11" s="8"/>
      <c r="AJ11" s="8"/>
      <c r="AK11" s="8"/>
      <c r="AL11" s="8"/>
      <c r="AM11" s="8"/>
      <c r="AN11" s="8"/>
      <c r="AO11" s="8"/>
      <c r="AP11" s="8"/>
      <c r="AQ11" s="8"/>
      <c r="AR11" s="8"/>
      <c r="AS11" s="8"/>
      <c r="AT11" s="80"/>
      <c r="AU11" s="8"/>
      <c r="AV11" s="8"/>
      <c r="AW11" s="8"/>
      <c r="AX11" s="8"/>
      <c r="AY11" s="8"/>
      <c r="AZ11" s="8"/>
      <c r="BA11" s="8"/>
      <c r="BB11" s="8"/>
      <c r="BC11" s="8"/>
      <c r="BD11" s="80"/>
      <c r="BE11" s="80"/>
      <c r="BF11" s="82"/>
      <c r="BG11" s="83"/>
      <c r="BH11" s="84"/>
      <c r="BI11" s="8"/>
      <c r="BJ11" s="8"/>
      <c r="BK11" s="8"/>
      <c r="BL11" s="80"/>
      <c r="BM11" s="78"/>
      <c r="BN11" s="8"/>
      <c r="BO11" s="8"/>
      <c r="BP11" s="8"/>
      <c r="BR11" s="8"/>
      <c r="BS11" s="49"/>
      <c r="BT11" s="49"/>
      <c r="BU11" s="49"/>
      <c r="BV11" s="49"/>
      <c r="BW11" s="49"/>
      <c r="BX11" s="49"/>
      <c r="BY11" s="49"/>
      <c r="BZ11" s="49"/>
      <c r="CA11" s="49"/>
      <c r="CB11" s="49"/>
      <c r="CC11" s="49"/>
    </row>
    <row r="12" spans="2:81" ht="39" customHeight="1">
      <c r="B12" s="91"/>
      <c r="C12" s="45" t="s">
        <v>128</v>
      </c>
      <c r="D12" s="62" t="s">
        <v>29</v>
      </c>
      <c r="E12" s="3">
        <v>5</v>
      </c>
      <c r="F12" s="3">
        <v>0.625</v>
      </c>
      <c r="G12" s="11"/>
      <c r="H12" s="11"/>
      <c r="I12" s="11"/>
      <c r="J12" s="11"/>
      <c r="K12" s="11"/>
      <c r="L12" s="11"/>
      <c r="M12" s="11"/>
      <c r="N12" s="11"/>
      <c r="O12" s="11"/>
      <c r="P12" s="11"/>
      <c r="Q12" s="11"/>
      <c r="R12" s="11"/>
      <c r="S12" s="8"/>
      <c r="U12" s="108"/>
      <c r="V12" s="109"/>
      <c r="W12" s="11"/>
      <c r="X12" s="11"/>
      <c r="Y12" s="11"/>
      <c r="Z12" s="11"/>
      <c r="AA12" s="102"/>
      <c r="AB12" s="11"/>
      <c r="AC12" s="11"/>
      <c r="AD12" s="11"/>
      <c r="AE12" s="11"/>
      <c r="AF12" s="8"/>
      <c r="AG12" s="8"/>
      <c r="AH12" s="8"/>
      <c r="AI12" s="8"/>
      <c r="AJ12" s="8"/>
      <c r="AK12" s="8"/>
      <c r="AL12" s="8"/>
      <c r="AM12" s="8"/>
      <c r="AN12" s="8"/>
      <c r="AO12" s="8"/>
      <c r="AP12" s="8"/>
      <c r="AQ12" s="8"/>
      <c r="AR12" s="8"/>
      <c r="AS12" s="8"/>
      <c r="AT12" s="80"/>
      <c r="AU12" s="8"/>
      <c r="AV12" s="8"/>
      <c r="AW12" s="8"/>
      <c r="AX12" s="8"/>
      <c r="AY12" s="8"/>
      <c r="AZ12" s="8"/>
      <c r="BA12" s="8"/>
      <c r="BB12" s="8"/>
      <c r="BC12" s="8"/>
      <c r="BD12" s="80"/>
      <c r="BE12" s="80"/>
      <c r="BF12" s="82"/>
      <c r="BG12" s="83"/>
      <c r="BH12" s="84"/>
      <c r="BI12" s="8"/>
      <c r="BJ12" s="8"/>
      <c r="BK12" s="8"/>
      <c r="BL12" s="80"/>
      <c r="BM12" s="78"/>
      <c r="BN12" s="8"/>
      <c r="BO12" s="8"/>
      <c r="BP12" s="8"/>
      <c r="BR12" s="8"/>
      <c r="BS12" s="49"/>
      <c r="BT12" s="49"/>
      <c r="BU12" s="49"/>
      <c r="BV12" s="49"/>
      <c r="BW12" s="49"/>
      <c r="BX12" s="49"/>
      <c r="BY12" s="49"/>
      <c r="BZ12" s="49"/>
      <c r="CA12" s="49"/>
      <c r="CB12" s="49"/>
      <c r="CC12" s="49"/>
    </row>
    <row r="13" spans="2:81" ht="39" customHeight="1">
      <c r="B13" s="91"/>
      <c r="C13" s="45" t="s">
        <v>129</v>
      </c>
      <c r="D13" s="62" t="s">
        <v>29</v>
      </c>
      <c r="E13" s="3">
        <v>8</v>
      </c>
      <c r="F13" s="3">
        <v>1</v>
      </c>
      <c r="G13" s="11"/>
      <c r="H13" s="11"/>
      <c r="I13" s="11"/>
      <c r="J13" s="11"/>
      <c r="K13" s="11"/>
      <c r="L13" s="11"/>
      <c r="M13" s="11"/>
      <c r="N13" s="11"/>
      <c r="O13" s="11"/>
      <c r="P13" s="11"/>
      <c r="Q13" s="11"/>
      <c r="R13" s="11"/>
      <c r="S13" s="8"/>
      <c r="U13" s="108"/>
      <c r="V13" s="109"/>
      <c r="W13" s="11"/>
      <c r="X13" s="11"/>
      <c r="Y13" s="11"/>
      <c r="Z13" s="11"/>
      <c r="AA13" s="102"/>
      <c r="AB13" s="11"/>
      <c r="AC13" s="11"/>
      <c r="AD13" s="11"/>
      <c r="AE13" s="11"/>
      <c r="AF13" s="8"/>
      <c r="AG13" s="8"/>
      <c r="AH13" s="8"/>
      <c r="AI13" s="8"/>
      <c r="AJ13" s="8"/>
      <c r="AK13" s="8"/>
      <c r="AL13" s="8"/>
      <c r="AM13" s="8"/>
      <c r="AN13" s="8"/>
      <c r="AO13" s="8"/>
      <c r="AP13" s="8"/>
      <c r="AQ13" s="8"/>
      <c r="AR13" s="8"/>
      <c r="AS13" s="8"/>
      <c r="AT13" s="80"/>
      <c r="AU13" s="8"/>
      <c r="AV13" s="8"/>
      <c r="AW13" s="8"/>
      <c r="AX13" s="8"/>
      <c r="AY13" s="8"/>
      <c r="AZ13" s="8"/>
      <c r="BA13" s="8"/>
      <c r="BB13" s="8"/>
      <c r="BC13" s="8"/>
      <c r="BD13" s="80"/>
      <c r="BE13" s="80"/>
      <c r="BF13" s="82"/>
      <c r="BG13" s="83"/>
      <c r="BH13" s="84"/>
      <c r="BI13" s="8"/>
      <c r="BJ13" s="8"/>
      <c r="BK13" s="8"/>
      <c r="BL13" s="80"/>
      <c r="BM13" s="78"/>
      <c r="BN13" s="8"/>
      <c r="BO13" s="8"/>
      <c r="BP13" s="8"/>
      <c r="BR13" s="8"/>
      <c r="BS13" s="49"/>
      <c r="BT13" s="49"/>
      <c r="BU13" s="49"/>
      <c r="BV13" s="49"/>
      <c r="BW13" s="49"/>
      <c r="BX13" s="49"/>
      <c r="BY13" s="49"/>
      <c r="BZ13" s="49"/>
      <c r="CA13" s="49"/>
      <c r="CB13" s="49"/>
      <c r="CC13" s="49"/>
    </row>
    <row r="14" spans="2:81" ht="39" customHeight="1">
      <c r="B14" s="91"/>
      <c r="C14" s="45" t="s">
        <v>130</v>
      </c>
      <c r="D14" s="62" t="s">
        <v>29</v>
      </c>
      <c r="E14" s="3">
        <v>16</v>
      </c>
      <c r="F14" s="3">
        <v>2</v>
      </c>
      <c r="G14" s="11"/>
      <c r="H14" s="11"/>
      <c r="I14" s="11"/>
      <c r="J14" s="11"/>
      <c r="K14" s="11"/>
      <c r="L14" s="11"/>
      <c r="M14" s="11"/>
      <c r="N14" s="11"/>
      <c r="O14" s="11"/>
      <c r="P14" s="11"/>
      <c r="Q14" s="11"/>
      <c r="R14" s="11"/>
      <c r="S14" s="8"/>
      <c r="U14" s="108"/>
      <c r="V14" s="109"/>
      <c r="W14" s="11"/>
      <c r="X14" s="11"/>
      <c r="Y14" s="11"/>
      <c r="Z14" s="11"/>
      <c r="AA14" s="102"/>
      <c r="AB14" s="11"/>
      <c r="AC14" s="11"/>
      <c r="AD14" s="11"/>
      <c r="AE14" s="11"/>
      <c r="AF14" s="8"/>
      <c r="AG14" s="8"/>
      <c r="AH14" s="8"/>
      <c r="AI14" s="8"/>
      <c r="AJ14" s="8"/>
      <c r="AK14" s="8"/>
      <c r="AL14" s="8"/>
      <c r="AM14" s="8"/>
      <c r="AN14" s="8"/>
      <c r="AO14" s="8"/>
      <c r="AP14" s="8"/>
      <c r="AQ14" s="8"/>
      <c r="AR14" s="8"/>
      <c r="AS14" s="8"/>
      <c r="AT14" s="80"/>
      <c r="AU14" s="8"/>
      <c r="AV14" s="8"/>
      <c r="AW14" s="8"/>
      <c r="AX14" s="8"/>
      <c r="AY14" s="8"/>
      <c r="AZ14" s="8"/>
      <c r="BA14" s="8"/>
      <c r="BB14" s="8"/>
      <c r="BC14" s="8"/>
      <c r="BD14" s="80"/>
      <c r="BE14" s="80"/>
      <c r="BF14" s="82"/>
      <c r="BG14" s="83"/>
      <c r="BH14" s="84"/>
      <c r="BI14" s="8"/>
      <c r="BJ14" s="8"/>
      <c r="BK14" s="8"/>
      <c r="BL14" s="80"/>
      <c r="BM14" s="78"/>
      <c r="BN14" s="8"/>
      <c r="BO14" s="8"/>
      <c r="BP14" s="8"/>
      <c r="BR14" s="8"/>
      <c r="BS14" s="49"/>
      <c r="BT14" s="49"/>
      <c r="BU14" s="49"/>
      <c r="BV14" s="49"/>
      <c r="BW14" s="49"/>
      <c r="BX14" s="49"/>
      <c r="BY14" s="49"/>
      <c r="BZ14" s="49"/>
      <c r="CA14" s="49"/>
      <c r="CB14" s="49"/>
      <c r="CC14" s="49"/>
    </row>
    <row r="15" spans="2:81" ht="39" customHeight="1">
      <c r="B15" s="91"/>
      <c r="C15" s="45" t="s">
        <v>131</v>
      </c>
      <c r="D15" s="62" t="s">
        <v>29</v>
      </c>
      <c r="E15" s="3">
        <v>10</v>
      </c>
      <c r="F15" s="3">
        <v>1.25</v>
      </c>
      <c r="G15" s="11"/>
      <c r="H15" s="11"/>
      <c r="I15" s="11"/>
      <c r="J15" s="11"/>
      <c r="K15" s="11"/>
      <c r="L15" s="11"/>
      <c r="M15" s="11"/>
      <c r="N15" s="11"/>
      <c r="O15" s="11"/>
      <c r="P15" s="11"/>
      <c r="Q15" s="11"/>
      <c r="R15" s="11"/>
      <c r="S15" s="8"/>
      <c r="U15" s="108"/>
      <c r="V15" s="109"/>
      <c r="W15" s="11"/>
      <c r="X15" s="11"/>
      <c r="Y15" s="11"/>
      <c r="Z15" s="11"/>
      <c r="AA15" s="102"/>
      <c r="AB15" s="11"/>
      <c r="AC15" s="11"/>
      <c r="AD15" s="11"/>
      <c r="AE15" s="11"/>
      <c r="AF15" s="8"/>
      <c r="AG15" s="8"/>
      <c r="AH15" s="8"/>
      <c r="AI15" s="8"/>
      <c r="AJ15" s="8"/>
      <c r="AK15" s="8"/>
      <c r="AL15" s="8"/>
      <c r="AM15" s="8"/>
      <c r="AN15" s="8"/>
      <c r="AO15" s="8"/>
      <c r="AP15" s="8"/>
      <c r="AQ15" s="8"/>
      <c r="AR15" s="8"/>
      <c r="AS15" s="8"/>
      <c r="AT15" s="80"/>
      <c r="AU15" s="8"/>
      <c r="AV15" s="8"/>
      <c r="AW15" s="8"/>
      <c r="AX15" s="8"/>
      <c r="AY15" s="8"/>
      <c r="AZ15" s="8"/>
      <c r="BA15" s="8"/>
      <c r="BB15" s="8"/>
      <c r="BC15" s="8"/>
      <c r="BD15" s="80"/>
      <c r="BE15" s="80"/>
      <c r="BF15" s="82"/>
      <c r="BG15" s="83"/>
      <c r="BH15" s="84"/>
      <c r="BI15" s="8"/>
      <c r="BJ15" s="8"/>
      <c r="BK15" s="8"/>
      <c r="BL15" s="80"/>
      <c r="BM15" s="78"/>
      <c r="BN15" s="8"/>
      <c r="BO15" s="8"/>
      <c r="BP15" s="8"/>
      <c r="BR15" s="8"/>
      <c r="BS15" s="49"/>
      <c r="BT15" s="49"/>
      <c r="BU15" s="49"/>
      <c r="BV15" s="49"/>
      <c r="BW15" s="49"/>
      <c r="BX15" s="49"/>
      <c r="BY15" s="49"/>
      <c r="BZ15" s="49"/>
      <c r="CA15" s="49"/>
      <c r="CB15" s="49"/>
      <c r="CC15" s="49"/>
    </row>
    <row r="16" spans="2:81" ht="39" customHeight="1">
      <c r="B16" s="91"/>
      <c r="C16" s="45" t="s">
        <v>132</v>
      </c>
      <c r="D16" s="62" t="s">
        <v>29</v>
      </c>
      <c r="E16" s="3">
        <v>10</v>
      </c>
      <c r="F16" s="3">
        <v>1.25</v>
      </c>
      <c r="G16" s="11"/>
      <c r="H16" s="11"/>
      <c r="I16" s="11"/>
      <c r="J16" s="11"/>
      <c r="K16" s="11"/>
      <c r="L16" s="11"/>
      <c r="M16" s="11"/>
      <c r="N16" s="11"/>
      <c r="O16" s="11"/>
      <c r="P16" s="11"/>
      <c r="Q16" s="11"/>
      <c r="R16" s="11"/>
      <c r="S16" s="8"/>
      <c r="U16" s="108"/>
      <c r="V16" s="109"/>
      <c r="W16" s="11"/>
      <c r="X16" s="11"/>
      <c r="Y16" s="11"/>
      <c r="Z16" s="11"/>
      <c r="AA16" s="102"/>
      <c r="AB16" s="11"/>
      <c r="AC16" s="11"/>
      <c r="AD16" s="11"/>
      <c r="AE16" s="11"/>
      <c r="AF16" s="8"/>
      <c r="AG16" s="8"/>
      <c r="AH16" s="8"/>
      <c r="AI16" s="8"/>
      <c r="AJ16" s="8"/>
      <c r="AK16" s="8"/>
      <c r="AL16" s="8"/>
      <c r="AM16" s="8"/>
      <c r="AN16" s="8"/>
      <c r="AO16" s="8"/>
      <c r="AP16" s="8"/>
      <c r="AQ16" s="8"/>
      <c r="AR16" s="8"/>
      <c r="AS16" s="8"/>
      <c r="AT16" s="80"/>
      <c r="AU16" s="8"/>
      <c r="AV16" s="8"/>
      <c r="AW16" s="8"/>
      <c r="AX16" s="8"/>
      <c r="AY16" s="8"/>
      <c r="AZ16" s="8"/>
      <c r="BA16" s="8"/>
      <c r="BB16" s="8"/>
      <c r="BC16" s="8"/>
      <c r="BD16" s="80"/>
      <c r="BE16" s="80"/>
      <c r="BF16" s="82"/>
      <c r="BG16" s="83"/>
      <c r="BH16" s="84"/>
      <c r="BI16" s="8"/>
      <c r="BJ16" s="8"/>
      <c r="BK16" s="8"/>
      <c r="BL16" s="80"/>
      <c r="BM16" s="78"/>
      <c r="BN16" s="8"/>
      <c r="BO16" s="8"/>
      <c r="BP16" s="8"/>
      <c r="BR16" s="8"/>
      <c r="BS16" s="49"/>
      <c r="BT16" s="49"/>
      <c r="BU16" s="49"/>
      <c r="BV16" s="49"/>
      <c r="BW16" s="49"/>
      <c r="BX16" s="49"/>
      <c r="BY16" s="49"/>
      <c r="BZ16" s="49"/>
      <c r="CA16" s="49"/>
      <c r="CB16" s="49"/>
      <c r="CC16" s="49"/>
    </row>
    <row r="17" spans="2:81" ht="39" customHeight="1">
      <c r="B17" s="91"/>
      <c r="C17" s="45" t="s">
        <v>133</v>
      </c>
      <c r="D17" s="61" t="s">
        <v>29</v>
      </c>
      <c r="E17" s="3">
        <v>14</v>
      </c>
      <c r="F17" s="3">
        <v>1.75</v>
      </c>
      <c r="G17" s="11"/>
      <c r="H17" s="11"/>
      <c r="I17" s="11"/>
      <c r="J17" s="11"/>
      <c r="K17" s="11"/>
      <c r="L17" s="11"/>
      <c r="M17" s="11"/>
      <c r="N17" s="11"/>
      <c r="O17" s="11"/>
      <c r="P17" s="11"/>
      <c r="Q17" s="11"/>
      <c r="R17" s="11"/>
      <c r="S17" s="8"/>
      <c r="U17" s="108"/>
      <c r="V17" s="109"/>
      <c r="W17" s="11"/>
      <c r="X17" s="11"/>
      <c r="Y17" s="11"/>
      <c r="Z17" s="11"/>
      <c r="AA17" s="102"/>
      <c r="AB17" s="11"/>
      <c r="AC17" s="11"/>
      <c r="AD17" s="11"/>
      <c r="AE17" s="11"/>
      <c r="AF17" s="8"/>
      <c r="AG17" s="8"/>
      <c r="AH17" s="8"/>
      <c r="AI17" s="8"/>
      <c r="AJ17" s="8"/>
      <c r="AK17" s="8"/>
      <c r="AL17" s="8"/>
      <c r="AM17" s="8"/>
      <c r="AN17" s="8"/>
      <c r="AO17" s="8"/>
      <c r="AP17" s="8"/>
      <c r="AQ17" s="8"/>
      <c r="AR17" s="8"/>
      <c r="AS17" s="8"/>
      <c r="AT17" s="80"/>
      <c r="AU17" s="8"/>
      <c r="AV17" s="8"/>
      <c r="AW17" s="8"/>
      <c r="AX17" s="8"/>
      <c r="AY17" s="8"/>
      <c r="AZ17" s="8"/>
      <c r="BA17" s="8"/>
      <c r="BB17" s="8"/>
      <c r="BC17" s="8"/>
      <c r="BD17" s="80"/>
      <c r="BE17" s="80"/>
      <c r="BF17" s="82"/>
      <c r="BG17" s="83"/>
      <c r="BH17" s="84"/>
      <c r="BI17" s="8"/>
      <c r="BJ17" s="8"/>
      <c r="BK17" s="8"/>
      <c r="BL17" s="80"/>
      <c r="BM17" s="78"/>
      <c r="BN17" s="8"/>
      <c r="BO17" s="8"/>
      <c r="BP17" s="8"/>
      <c r="BR17" s="8"/>
      <c r="BS17" s="49"/>
      <c r="BT17" s="49"/>
      <c r="BU17" s="49"/>
      <c r="BV17" s="49"/>
      <c r="BW17" s="49"/>
      <c r="BX17" s="49"/>
      <c r="BY17" s="49"/>
      <c r="BZ17" s="49"/>
      <c r="CA17" s="49"/>
      <c r="CB17" s="49"/>
      <c r="CC17" s="49"/>
    </row>
    <row r="18" spans="2:81" ht="39" customHeight="1">
      <c r="B18" s="91"/>
      <c r="C18" s="45" t="s">
        <v>134</v>
      </c>
      <c r="D18" s="61" t="s">
        <v>29</v>
      </c>
      <c r="E18" s="3">
        <v>12</v>
      </c>
      <c r="F18" s="3">
        <v>1.5</v>
      </c>
      <c r="G18" s="11"/>
      <c r="H18" s="11"/>
      <c r="I18" s="11"/>
      <c r="J18" s="11"/>
      <c r="K18" s="11"/>
      <c r="L18" s="11"/>
      <c r="M18" s="11"/>
      <c r="N18" s="11"/>
      <c r="O18" s="11"/>
      <c r="P18" s="11"/>
      <c r="Q18" s="11"/>
      <c r="R18" s="11"/>
      <c r="S18" s="8"/>
      <c r="U18" s="108"/>
      <c r="V18" s="109"/>
      <c r="W18" s="11"/>
      <c r="X18" s="11"/>
      <c r="Y18" s="11"/>
      <c r="Z18" s="11"/>
      <c r="AA18" s="102"/>
      <c r="AB18" s="11"/>
      <c r="AC18" s="11"/>
      <c r="AD18" s="11"/>
      <c r="AE18" s="11"/>
      <c r="AF18" s="8"/>
      <c r="AG18" s="8"/>
      <c r="AH18" s="8"/>
      <c r="AI18" s="8"/>
      <c r="AJ18" s="8"/>
      <c r="AK18" s="8"/>
      <c r="AL18" s="8"/>
      <c r="AM18" s="8"/>
      <c r="AN18" s="8"/>
      <c r="AO18" s="8"/>
      <c r="AP18" s="8"/>
      <c r="AQ18" s="8"/>
      <c r="AR18" s="8"/>
      <c r="AS18" s="8"/>
      <c r="AT18" s="80"/>
      <c r="AU18" s="8"/>
      <c r="AV18" s="8"/>
      <c r="AW18" s="8"/>
      <c r="AX18" s="8"/>
      <c r="AY18" s="8"/>
      <c r="AZ18" s="8"/>
      <c r="BA18" s="8"/>
      <c r="BB18" s="8"/>
      <c r="BC18" s="8"/>
      <c r="BD18" s="80"/>
      <c r="BE18" s="80"/>
      <c r="BF18" s="82"/>
      <c r="BG18" s="83"/>
      <c r="BH18" s="84"/>
      <c r="BI18" s="8"/>
      <c r="BJ18" s="8"/>
      <c r="BK18" s="8"/>
      <c r="BL18" s="80"/>
      <c r="BM18" s="78"/>
      <c r="BN18" s="8"/>
      <c r="BO18" s="8"/>
      <c r="BP18" s="8"/>
      <c r="BR18" s="8"/>
      <c r="BS18" s="49"/>
      <c r="BT18" s="49"/>
      <c r="BU18" s="49"/>
      <c r="BV18" s="49"/>
      <c r="BW18" s="49"/>
      <c r="BX18" s="49"/>
      <c r="BY18" s="49"/>
      <c r="BZ18" s="49"/>
      <c r="CA18" s="49"/>
      <c r="CB18" s="49"/>
      <c r="CC18" s="49"/>
    </row>
    <row r="19" spans="2:81" ht="39" customHeight="1">
      <c r="B19" s="91"/>
      <c r="C19" s="45" t="s">
        <v>135</v>
      </c>
      <c r="D19" s="61" t="s">
        <v>29</v>
      </c>
      <c r="E19" s="3">
        <v>32</v>
      </c>
      <c r="F19" s="3">
        <v>4</v>
      </c>
      <c r="G19" s="11"/>
      <c r="H19" s="11"/>
      <c r="I19" s="11"/>
      <c r="J19" s="11"/>
      <c r="K19" s="11"/>
      <c r="L19" s="11"/>
      <c r="M19" s="11"/>
      <c r="N19" s="11"/>
      <c r="O19" s="11"/>
      <c r="P19" s="11"/>
      <c r="Q19" s="11"/>
      <c r="R19" s="11"/>
      <c r="S19" s="8"/>
      <c r="U19" s="108"/>
      <c r="V19" s="109"/>
      <c r="W19" s="11"/>
      <c r="X19" s="11"/>
      <c r="Y19" s="11"/>
      <c r="Z19" s="11"/>
      <c r="AA19" s="102"/>
      <c r="AB19" s="11"/>
      <c r="AC19" s="11"/>
      <c r="AD19" s="11"/>
      <c r="AE19" s="11"/>
      <c r="AF19" s="8"/>
      <c r="AG19" s="8"/>
      <c r="AH19" s="8"/>
      <c r="AI19" s="8"/>
      <c r="AJ19" s="8"/>
      <c r="AK19" s="8"/>
      <c r="AL19" s="8"/>
      <c r="AM19" s="8"/>
      <c r="AN19" s="8"/>
      <c r="AO19" s="8"/>
      <c r="AP19" s="8"/>
      <c r="AQ19" s="8"/>
      <c r="AR19" s="8"/>
      <c r="AS19" s="8"/>
      <c r="AT19" s="80"/>
      <c r="AU19" s="8"/>
      <c r="AV19" s="8"/>
      <c r="AW19" s="8"/>
      <c r="AX19" s="8"/>
      <c r="AY19" s="8"/>
      <c r="AZ19" s="8"/>
      <c r="BA19" s="8"/>
      <c r="BB19" s="8"/>
      <c r="BC19" s="8"/>
      <c r="BD19" s="80"/>
      <c r="BE19" s="80"/>
      <c r="BF19" s="82"/>
      <c r="BG19" s="83"/>
      <c r="BH19" s="84"/>
      <c r="BI19" s="8"/>
      <c r="BJ19" s="8"/>
      <c r="BK19" s="8"/>
      <c r="BL19" s="80"/>
      <c r="BM19" s="78"/>
      <c r="BN19" s="8"/>
      <c r="BO19" s="8"/>
      <c r="BP19" s="8"/>
      <c r="BR19" s="8"/>
      <c r="BS19" s="49"/>
      <c r="BT19" s="49"/>
      <c r="BU19" s="49"/>
      <c r="BV19" s="49"/>
      <c r="BW19" s="49"/>
      <c r="BX19" s="49"/>
      <c r="BY19" s="49"/>
      <c r="BZ19" s="49"/>
      <c r="CA19" s="49"/>
      <c r="CB19" s="49"/>
      <c r="CC19" s="49"/>
    </row>
    <row r="20" spans="2:81" ht="39" customHeight="1">
      <c r="B20" s="91"/>
      <c r="C20" s="45" t="s">
        <v>136</v>
      </c>
      <c r="D20" s="61" t="s">
        <v>29</v>
      </c>
      <c r="E20" s="3">
        <v>20</v>
      </c>
      <c r="F20" s="3">
        <v>2.5</v>
      </c>
      <c r="G20" s="11"/>
      <c r="H20" s="11"/>
      <c r="I20" s="11"/>
      <c r="J20" s="11"/>
      <c r="K20" s="11"/>
      <c r="L20" s="11"/>
      <c r="M20" s="11"/>
      <c r="N20" s="11"/>
      <c r="O20" s="11"/>
      <c r="P20" s="11"/>
      <c r="Q20" s="11"/>
      <c r="R20" s="11"/>
      <c r="S20" s="8"/>
      <c r="U20" s="108"/>
      <c r="V20" s="109"/>
      <c r="W20" s="11"/>
      <c r="X20" s="11"/>
      <c r="Y20" s="11"/>
      <c r="Z20" s="11"/>
      <c r="AA20" s="102"/>
      <c r="AB20" s="11"/>
      <c r="AC20" s="11"/>
      <c r="AD20" s="11"/>
      <c r="AE20" s="11"/>
      <c r="AF20" s="8"/>
      <c r="AG20" s="8"/>
      <c r="AH20" s="8"/>
      <c r="AI20" s="8"/>
      <c r="AJ20" s="8"/>
      <c r="AK20" s="8"/>
      <c r="AL20" s="8"/>
      <c r="AM20" s="8"/>
      <c r="AN20" s="8"/>
      <c r="AO20" s="8"/>
      <c r="AP20" s="8"/>
      <c r="AQ20" s="8"/>
      <c r="AR20" s="8"/>
      <c r="AS20" s="8"/>
      <c r="AT20" s="80"/>
      <c r="AU20" s="8"/>
      <c r="AV20" s="8"/>
      <c r="AW20" s="8"/>
      <c r="AX20" s="8"/>
      <c r="AY20" s="8"/>
      <c r="AZ20" s="8"/>
      <c r="BA20" s="8"/>
      <c r="BB20" s="8"/>
      <c r="BC20" s="8"/>
      <c r="BD20" s="80"/>
      <c r="BE20" s="80"/>
      <c r="BF20" s="82"/>
      <c r="BG20" s="83"/>
      <c r="BH20" s="84"/>
      <c r="BI20" s="8"/>
      <c r="BJ20" s="8"/>
      <c r="BK20" s="8"/>
      <c r="BL20" s="80"/>
      <c r="BM20" s="78"/>
      <c r="BN20" s="8"/>
      <c r="BO20" s="8"/>
      <c r="BP20" s="8"/>
      <c r="BR20" s="8"/>
      <c r="BS20" s="49"/>
      <c r="BT20" s="49"/>
      <c r="BU20" s="49"/>
      <c r="BV20" s="49"/>
      <c r="BW20" s="49"/>
      <c r="BX20" s="49"/>
      <c r="BY20" s="49"/>
      <c r="BZ20" s="49"/>
      <c r="CA20" s="49"/>
      <c r="CB20" s="49"/>
      <c r="CC20" s="49"/>
    </row>
    <row r="21" spans="2:81" ht="39" customHeight="1">
      <c r="B21" s="91"/>
      <c r="C21" s="45" t="s">
        <v>137</v>
      </c>
      <c r="D21" s="61" t="s">
        <v>29</v>
      </c>
      <c r="E21" s="3">
        <v>16</v>
      </c>
      <c r="F21" s="3">
        <v>2</v>
      </c>
      <c r="G21" s="11"/>
      <c r="H21" s="11"/>
      <c r="I21" s="11"/>
      <c r="J21" s="11"/>
      <c r="K21" s="11"/>
      <c r="L21" s="11"/>
      <c r="M21" s="11"/>
      <c r="N21" s="11"/>
      <c r="O21" s="11"/>
      <c r="P21" s="11"/>
      <c r="Q21" s="11"/>
      <c r="R21" s="11"/>
      <c r="S21" s="8"/>
      <c r="U21" s="108"/>
      <c r="V21" s="109"/>
      <c r="W21" s="11"/>
      <c r="X21" s="11"/>
      <c r="Y21" s="11"/>
      <c r="Z21" s="11"/>
      <c r="AA21" s="102"/>
      <c r="AB21" s="11"/>
      <c r="AC21" s="11"/>
      <c r="AD21" s="11"/>
      <c r="AE21" s="11"/>
      <c r="AF21" s="8"/>
      <c r="AG21" s="8"/>
      <c r="AH21" s="8"/>
      <c r="AI21" s="8"/>
      <c r="AJ21" s="8"/>
      <c r="AK21" s="8"/>
      <c r="AL21" s="8"/>
      <c r="AM21" s="8"/>
      <c r="AN21" s="8"/>
      <c r="AO21" s="8"/>
      <c r="AP21" s="8"/>
      <c r="AQ21" s="8"/>
      <c r="AR21" s="8"/>
      <c r="AS21" s="8"/>
      <c r="AT21" s="80"/>
      <c r="AU21" s="8"/>
      <c r="AV21" s="8"/>
      <c r="AW21" s="8"/>
      <c r="AX21" s="8"/>
      <c r="AY21" s="8"/>
      <c r="AZ21" s="8"/>
      <c r="BA21" s="8"/>
      <c r="BB21" s="8"/>
      <c r="BC21" s="8"/>
      <c r="BD21" s="80"/>
      <c r="BE21" s="80"/>
      <c r="BF21" s="82"/>
      <c r="BG21" s="83"/>
      <c r="BH21" s="84"/>
      <c r="BI21" s="8"/>
      <c r="BJ21" s="8"/>
      <c r="BK21" s="8"/>
      <c r="BL21" s="80"/>
      <c r="BM21" s="78"/>
      <c r="BN21" s="8"/>
      <c r="BO21" s="8"/>
      <c r="BP21" s="8"/>
      <c r="BR21" s="8"/>
      <c r="BS21" s="49"/>
      <c r="BT21" s="49"/>
      <c r="BU21" s="49"/>
      <c r="BV21" s="49"/>
      <c r="BW21" s="49"/>
      <c r="BX21" s="49"/>
      <c r="BY21" s="49"/>
      <c r="BZ21" s="49"/>
      <c r="CA21" s="49"/>
      <c r="CB21" s="49"/>
      <c r="CC21" s="49"/>
    </row>
    <row r="22" spans="2:81" ht="39" customHeight="1">
      <c r="B22" s="91"/>
      <c r="C22" s="45" t="s">
        <v>138</v>
      </c>
      <c r="D22" s="61" t="s">
        <v>29</v>
      </c>
      <c r="E22" s="3">
        <v>20</v>
      </c>
      <c r="F22" s="3">
        <v>2.5</v>
      </c>
      <c r="G22" s="11"/>
      <c r="H22" s="11"/>
      <c r="I22" s="11"/>
      <c r="J22" s="11"/>
      <c r="K22" s="11"/>
      <c r="L22" s="11"/>
      <c r="M22" s="11"/>
      <c r="N22" s="11"/>
      <c r="O22" s="11"/>
      <c r="P22" s="11"/>
      <c r="Q22" s="11"/>
      <c r="R22" s="11"/>
      <c r="S22" s="8"/>
      <c r="U22" s="108"/>
      <c r="V22" s="109"/>
      <c r="W22" s="11"/>
      <c r="X22" s="11"/>
      <c r="Y22" s="11"/>
      <c r="Z22" s="11"/>
      <c r="AA22" s="102"/>
      <c r="AB22" s="11"/>
      <c r="AC22" s="11"/>
      <c r="AD22" s="11"/>
      <c r="AE22" s="11"/>
      <c r="AF22" s="8"/>
      <c r="AG22" s="8"/>
      <c r="AH22" s="8"/>
      <c r="AI22" s="8"/>
      <c r="AJ22" s="8"/>
      <c r="AK22" s="8"/>
      <c r="AL22" s="8"/>
      <c r="AM22" s="8"/>
      <c r="AN22" s="8"/>
      <c r="AO22" s="8"/>
      <c r="AP22" s="8"/>
      <c r="AQ22" s="8"/>
      <c r="AR22" s="8"/>
      <c r="AS22" s="8"/>
      <c r="AT22" s="80"/>
      <c r="AU22" s="8"/>
      <c r="AV22" s="8"/>
      <c r="AW22" s="8"/>
      <c r="AX22" s="8"/>
      <c r="AY22" s="8"/>
      <c r="AZ22" s="8"/>
      <c r="BA22" s="8"/>
      <c r="BB22" s="8"/>
      <c r="BC22" s="8"/>
      <c r="BD22" s="80"/>
      <c r="BE22" s="80"/>
      <c r="BF22" s="82"/>
      <c r="BG22" s="83"/>
      <c r="BH22" s="84"/>
      <c r="BI22" s="8"/>
      <c r="BJ22" s="8"/>
      <c r="BK22" s="8"/>
      <c r="BL22" s="80"/>
      <c r="BM22" s="78"/>
      <c r="BN22" s="8"/>
      <c r="BO22" s="8"/>
      <c r="BP22" s="8"/>
      <c r="BR22" s="8"/>
      <c r="BS22" s="49"/>
      <c r="BT22" s="49"/>
      <c r="BU22" s="49"/>
      <c r="BV22" s="49"/>
      <c r="BW22" s="49"/>
      <c r="BX22" s="49"/>
      <c r="BY22" s="49"/>
      <c r="BZ22" s="49"/>
      <c r="CA22" s="49"/>
      <c r="CB22" s="49"/>
      <c r="CC22" s="49"/>
    </row>
    <row r="23" spans="2:81" ht="39" customHeight="1">
      <c r="B23" s="91"/>
      <c r="C23" s="45" t="s">
        <v>139</v>
      </c>
      <c r="D23" s="63" t="s">
        <v>29</v>
      </c>
      <c r="E23" s="3">
        <v>22</v>
      </c>
      <c r="F23" s="3">
        <v>2.75</v>
      </c>
      <c r="G23" s="11"/>
      <c r="H23" s="11"/>
      <c r="I23" s="11"/>
      <c r="J23" s="11"/>
      <c r="K23" s="11"/>
      <c r="L23" s="11"/>
      <c r="M23" s="11"/>
      <c r="N23" s="11"/>
      <c r="O23" s="11"/>
      <c r="P23" s="11"/>
      <c r="Q23" s="11"/>
      <c r="R23" s="11"/>
      <c r="S23" s="8"/>
      <c r="U23" s="108"/>
      <c r="V23" s="109"/>
      <c r="W23" s="11"/>
      <c r="X23" s="11"/>
      <c r="Y23" s="11"/>
      <c r="Z23" s="11"/>
      <c r="AA23" s="102"/>
      <c r="AB23" s="11"/>
      <c r="AC23" s="11"/>
      <c r="AD23" s="11"/>
      <c r="AE23" s="11"/>
      <c r="AF23" s="8"/>
      <c r="AG23" s="8"/>
      <c r="AH23" s="8"/>
      <c r="AI23" s="8"/>
      <c r="AJ23" s="8"/>
      <c r="AK23" s="8"/>
      <c r="AL23" s="8"/>
      <c r="AM23" s="8"/>
      <c r="AN23" s="8"/>
      <c r="AO23" s="8"/>
      <c r="AP23" s="8"/>
      <c r="AQ23" s="8"/>
      <c r="AR23" s="8"/>
      <c r="AS23" s="8"/>
      <c r="AT23" s="80"/>
      <c r="AU23" s="8"/>
      <c r="AV23" s="8"/>
      <c r="AW23" s="8"/>
      <c r="AX23" s="8"/>
      <c r="AY23" s="8"/>
      <c r="AZ23" s="8"/>
      <c r="BA23" s="8"/>
      <c r="BB23" s="8"/>
      <c r="BC23" s="8"/>
      <c r="BD23" s="80"/>
      <c r="BE23" s="80"/>
      <c r="BF23" s="82"/>
      <c r="BG23" s="83"/>
      <c r="BH23" s="84"/>
      <c r="BI23" s="8"/>
      <c r="BJ23" s="8"/>
      <c r="BK23" s="8"/>
      <c r="BL23" s="80"/>
      <c r="BM23" s="78"/>
      <c r="BN23" s="8"/>
      <c r="BO23" s="8"/>
      <c r="BP23" s="8"/>
      <c r="BR23" s="8"/>
      <c r="BS23" s="49"/>
      <c r="BT23" s="49"/>
      <c r="BU23" s="49"/>
      <c r="BV23" s="49"/>
      <c r="BW23" s="49"/>
      <c r="BX23" s="49"/>
      <c r="BY23" s="49"/>
      <c r="BZ23" s="49"/>
      <c r="CA23" s="49"/>
      <c r="CB23" s="49"/>
      <c r="CC23" s="49"/>
    </row>
    <row r="24" spans="2:81" ht="39" customHeight="1">
      <c r="B24" s="91"/>
      <c r="C24" s="45" t="s">
        <v>140</v>
      </c>
      <c r="D24" s="64" t="s">
        <v>29</v>
      </c>
      <c r="E24" s="3">
        <v>8</v>
      </c>
      <c r="F24" s="3">
        <v>1</v>
      </c>
      <c r="G24" s="11"/>
      <c r="H24" s="11"/>
      <c r="I24" s="11"/>
      <c r="J24" s="11"/>
      <c r="K24" s="11"/>
      <c r="L24" s="11"/>
      <c r="M24" s="11"/>
      <c r="N24" s="11"/>
      <c r="O24" s="11"/>
      <c r="P24" s="11"/>
      <c r="Q24" s="11"/>
      <c r="R24" s="11"/>
      <c r="S24" s="8"/>
      <c r="U24" s="108"/>
      <c r="V24" s="109"/>
      <c r="W24" s="11"/>
      <c r="X24" s="11"/>
      <c r="Y24" s="11"/>
      <c r="Z24" s="11"/>
      <c r="AA24" s="102"/>
      <c r="AB24" s="11"/>
      <c r="AC24" s="11"/>
      <c r="AD24" s="11"/>
      <c r="AE24" s="11"/>
      <c r="AF24" s="8"/>
      <c r="AG24" s="8"/>
      <c r="AH24" s="8"/>
      <c r="AI24" s="8"/>
      <c r="AJ24" s="8"/>
      <c r="AK24" s="8"/>
      <c r="AL24" s="8"/>
      <c r="AM24" s="8"/>
      <c r="AN24" s="8"/>
      <c r="AO24" s="8"/>
      <c r="AP24" s="8"/>
      <c r="AQ24" s="8"/>
      <c r="AR24" s="8"/>
      <c r="AS24" s="8"/>
      <c r="AT24" s="80"/>
      <c r="AU24" s="8"/>
      <c r="AV24" s="8"/>
      <c r="AW24" s="8"/>
      <c r="AX24" s="8"/>
      <c r="AY24" s="8"/>
      <c r="AZ24" s="8"/>
      <c r="BA24" s="8"/>
      <c r="BB24" s="8"/>
      <c r="BC24" s="8"/>
      <c r="BD24" s="80"/>
      <c r="BE24" s="80"/>
      <c r="BF24" s="82"/>
      <c r="BG24" s="83"/>
      <c r="BH24" s="84"/>
      <c r="BI24" s="8"/>
      <c r="BJ24" s="8"/>
      <c r="BK24" s="8"/>
      <c r="BL24" s="80"/>
      <c r="BM24" s="78"/>
      <c r="BN24" s="8"/>
      <c r="BO24" s="8"/>
      <c r="BP24" s="8"/>
      <c r="BR24" s="8"/>
      <c r="BS24" s="49"/>
      <c r="BT24" s="49"/>
      <c r="BU24" s="49"/>
      <c r="BV24" s="49"/>
      <c r="BW24" s="49"/>
      <c r="BX24" s="49"/>
      <c r="BY24" s="49"/>
      <c r="BZ24" s="49"/>
      <c r="CA24" s="49"/>
      <c r="CB24" s="49"/>
      <c r="CC24" s="49"/>
    </row>
    <row r="25" spans="2:81" ht="39" customHeight="1">
      <c r="B25" s="107" t="s">
        <v>10</v>
      </c>
      <c r="C25" s="45" t="s">
        <v>141</v>
      </c>
      <c r="D25" s="64" t="s">
        <v>29</v>
      </c>
      <c r="E25" s="3">
        <v>4</v>
      </c>
      <c r="F25" s="3">
        <v>0.5</v>
      </c>
      <c r="G25" s="11"/>
      <c r="H25" s="11"/>
      <c r="I25" s="11"/>
      <c r="J25" s="11"/>
      <c r="K25" s="11"/>
      <c r="L25" s="11"/>
      <c r="M25" s="11"/>
      <c r="N25" s="11"/>
      <c r="O25" s="11"/>
      <c r="P25" s="11"/>
      <c r="Q25" s="11"/>
      <c r="R25" s="11"/>
      <c r="S25" s="8"/>
      <c r="U25" s="108"/>
      <c r="V25" s="109"/>
      <c r="W25" s="11"/>
      <c r="X25" s="11"/>
      <c r="Y25" s="11"/>
      <c r="Z25" s="11"/>
      <c r="AA25" s="102"/>
      <c r="AB25" s="11"/>
      <c r="AC25" s="11"/>
      <c r="AD25" s="11"/>
      <c r="AE25" s="11"/>
      <c r="AF25" s="8"/>
      <c r="AG25" s="8"/>
      <c r="AH25" s="8"/>
      <c r="AI25" s="8"/>
      <c r="AJ25" s="8"/>
      <c r="AK25" s="8"/>
      <c r="AL25" s="8"/>
      <c r="AM25" s="8"/>
      <c r="AN25" s="8"/>
      <c r="AO25" s="8"/>
      <c r="AP25" s="8"/>
      <c r="AQ25" s="8"/>
      <c r="AR25" s="8"/>
      <c r="AS25" s="8"/>
      <c r="AT25" s="80"/>
      <c r="AU25" s="8"/>
      <c r="AV25" s="8"/>
      <c r="AW25" s="8"/>
      <c r="AX25" s="8"/>
      <c r="AY25" s="8"/>
      <c r="AZ25" s="8"/>
      <c r="BA25" s="8"/>
      <c r="BB25" s="8"/>
      <c r="BC25" s="8"/>
      <c r="BD25" s="80"/>
      <c r="BE25" s="80"/>
      <c r="BF25" s="82"/>
      <c r="BG25" s="83"/>
      <c r="BH25" s="84"/>
      <c r="BI25" s="8"/>
      <c r="BJ25" s="8"/>
      <c r="BK25" s="8"/>
      <c r="BL25" s="80"/>
      <c r="BM25" s="78"/>
      <c r="BN25" s="8"/>
      <c r="BO25" s="8"/>
      <c r="BP25" s="8"/>
      <c r="BR25" s="8"/>
      <c r="BS25" s="49"/>
      <c r="BT25" s="49"/>
      <c r="BU25" s="49"/>
      <c r="BV25" s="49"/>
      <c r="BW25" s="49"/>
      <c r="BX25" s="49"/>
      <c r="BY25" s="49"/>
      <c r="BZ25" s="49"/>
      <c r="CA25" s="49"/>
      <c r="CB25" s="49"/>
      <c r="CC25" s="49"/>
    </row>
    <row r="26" spans="2:81" ht="39" customHeight="1">
      <c r="B26" s="91"/>
      <c r="C26" s="45" t="s">
        <v>142</v>
      </c>
      <c r="D26" s="64" t="s">
        <v>29</v>
      </c>
      <c r="E26" s="3">
        <v>32</v>
      </c>
      <c r="F26" s="3">
        <v>4</v>
      </c>
      <c r="G26" s="11"/>
      <c r="H26" s="11"/>
      <c r="I26" s="11"/>
      <c r="J26" s="11"/>
      <c r="K26" s="11"/>
      <c r="L26" s="11"/>
      <c r="M26" s="11"/>
      <c r="N26" s="11"/>
      <c r="O26" s="11"/>
      <c r="P26" s="11"/>
      <c r="Q26" s="11"/>
      <c r="R26" s="11"/>
      <c r="S26" s="8"/>
      <c r="U26" s="108"/>
      <c r="V26" s="109"/>
      <c r="W26" s="11"/>
      <c r="X26" s="11"/>
      <c r="Y26" s="11"/>
      <c r="Z26" s="11"/>
      <c r="AA26" s="102"/>
      <c r="AB26" s="11"/>
      <c r="AC26" s="11"/>
      <c r="AD26" s="11"/>
      <c r="AE26" s="11"/>
      <c r="AF26" s="8"/>
      <c r="AG26" s="8"/>
      <c r="AH26" s="8"/>
      <c r="AI26" s="8"/>
      <c r="AJ26" s="8"/>
      <c r="AK26" s="8"/>
      <c r="AL26" s="8"/>
      <c r="AM26" s="8"/>
      <c r="AN26" s="8"/>
      <c r="AO26" s="8"/>
      <c r="AP26" s="8"/>
      <c r="AQ26" s="8"/>
      <c r="AR26" s="8"/>
      <c r="AS26" s="8"/>
      <c r="AT26" s="80"/>
      <c r="AU26" s="8"/>
      <c r="AV26" s="8"/>
      <c r="AW26" s="8"/>
      <c r="AX26" s="8"/>
      <c r="AY26" s="8"/>
      <c r="AZ26" s="8"/>
      <c r="BA26" s="8"/>
      <c r="BB26" s="8"/>
      <c r="BC26" s="8"/>
      <c r="BD26" s="80"/>
      <c r="BE26" s="80"/>
      <c r="BF26" s="82"/>
      <c r="BG26" s="83"/>
      <c r="BH26" s="84"/>
      <c r="BI26" s="8"/>
      <c r="BJ26" s="8"/>
      <c r="BK26" s="8"/>
      <c r="BL26" s="80"/>
      <c r="BM26" s="78"/>
      <c r="BN26" s="8"/>
      <c r="BO26" s="8"/>
      <c r="BP26" s="8"/>
      <c r="BR26" s="8"/>
      <c r="BS26" s="49"/>
      <c r="BT26" s="49"/>
      <c r="BU26" s="49"/>
      <c r="BV26" s="49"/>
      <c r="BW26" s="49"/>
      <c r="BX26" s="49"/>
      <c r="BY26" s="49"/>
      <c r="BZ26" s="49"/>
      <c r="CA26" s="49"/>
      <c r="CB26" s="49"/>
      <c r="CC26" s="49"/>
    </row>
    <row r="27" spans="2:81" ht="39" customHeight="1">
      <c r="B27" s="91"/>
      <c r="C27" s="45" t="s">
        <v>143</v>
      </c>
      <c r="D27" s="64" t="s">
        <v>29</v>
      </c>
      <c r="E27" s="3">
        <v>12</v>
      </c>
      <c r="F27" s="3">
        <v>1.5</v>
      </c>
      <c r="G27" s="11"/>
      <c r="H27" s="11"/>
      <c r="I27" s="11"/>
      <c r="J27" s="11"/>
      <c r="K27" s="11"/>
      <c r="L27" s="11"/>
      <c r="M27" s="11"/>
      <c r="N27" s="11"/>
      <c r="O27" s="11"/>
      <c r="P27" s="11"/>
      <c r="Q27" s="11"/>
      <c r="R27" s="11"/>
      <c r="S27" s="8"/>
      <c r="U27" s="108"/>
      <c r="V27" s="109"/>
      <c r="W27" s="11"/>
      <c r="X27" s="11"/>
      <c r="Y27" s="11"/>
      <c r="Z27" s="11"/>
      <c r="AA27" s="102"/>
      <c r="AB27" s="11"/>
      <c r="AC27" s="11"/>
      <c r="AD27" s="11"/>
      <c r="AE27" s="11"/>
      <c r="AF27" s="8"/>
      <c r="AG27" s="8"/>
      <c r="AH27" s="8"/>
      <c r="AI27" s="8"/>
      <c r="AJ27" s="8"/>
      <c r="AK27" s="8"/>
      <c r="AL27" s="8"/>
      <c r="AM27" s="8"/>
      <c r="AN27" s="8"/>
      <c r="AO27" s="8"/>
      <c r="AP27" s="8"/>
      <c r="AQ27" s="8"/>
      <c r="AR27" s="8"/>
      <c r="AS27" s="8"/>
      <c r="AT27" s="80"/>
      <c r="AU27" s="8"/>
      <c r="AV27" s="8"/>
      <c r="AW27" s="8"/>
      <c r="AX27" s="8"/>
      <c r="AY27" s="8"/>
      <c r="AZ27" s="8"/>
      <c r="BA27" s="8"/>
      <c r="BB27" s="8"/>
      <c r="BC27" s="8"/>
      <c r="BD27" s="80"/>
      <c r="BE27" s="80"/>
      <c r="BF27" s="82"/>
      <c r="BG27" s="83"/>
      <c r="BH27" s="84"/>
      <c r="BI27" s="8"/>
      <c r="BJ27" s="8"/>
      <c r="BK27" s="8"/>
      <c r="BL27" s="80"/>
      <c r="BM27" s="78"/>
      <c r="BN27" s="8"/>
      <c r="BO27" s="8"/>
      <c r="BP27" s="8"/>
      <c r="BR27" s="8"/>
      <c r="BS27" s="49"/>
      <c r="BT27" s="49"/>
      <c r="BU27" s="49"/>
      <c r="BV27" s="49"/>
      <c r="BW27" s="49"/>
      <c r="BX27" s="49"/>
      <c r="BY27" s="49"/>
      <c r="BZ27" s="49"/>
      <c r="CA27" s="49"/>
      <c r="CB27" s="49"/>
      <c r="CC27" s="49"/>
    </row>
    <row r="28" spans="2:81" ht="39" customHeight="1">
      <c r="B28" s="91"/>
      <c r="C28" s="45" t="s">
        <v>144</v>
      </c>
      <c r="D28" s="64" t="s">
        <v>29</v>
      </c>
      <c r="E28" s="3">
        <v>8</v>
      </c>
      <c r="F28" s="3">
        <v>1</v>
      </c>
      <c r="G28" s="11"/>
      <c r="H28" s="11"/>
      <c r="I28" s="11"/>
      <c r="J28" s="11"/>
      <c r="K28" s="11"/>
      <c r="L28" s="11"/>
      <c r="M28" s="11"/>
      <c r="N28" s="11"/>
      <c r="O28" s="11"/>
      <c r="P28" s="11"/>
      <c r="Q28" s="11"/>
      <c r="R28" s="11"/>
      <c r="S28" s="8"/>
      <c r="U28" s="108"/>
      <c r="V28" s="109"/>
      <c r="W28" s="11"/>
      <c r="X28" s="11"/>
      <c r="Y28" s="11"/>
      <c r="Z28" s="11"/>
      <c r="AA28" s="102"/>
      <c r="AB28" s="11"/>
      <c r="AC28" s="11"/>
      <c r="AD28" s="11"/>
      <c r="AE28" s="11"/>
      <c r="AF28" s="8"/>
      <c r="AG28" s="8"/>
      <c r="AH28" s="8"/>
      <c r="AI28" s="8"/>
      <c r="AJ28" s="8"/>
      <c r="AK28" s="8"/>
      <c r="AL28" s="8"/>
      <c r="AM28" s="8"/>
      <c r="AN28" s="8"/>
      <c r="AO28" s="8"/>
      <c r="AP28" s="8"/>
      <c r="AQ28" s="8"/>
      <c r="AR28" s="8"/>
      <c r="AS28" s="8"/>
      <c r="AT28" s="80"/>
      <c r="AU28" s="8"/>
      <c r="AV28" s="8"/>
      <c r="AW28" s="8"/>
      <c r="AX28" s="8"/>
      <c r="AY28" s="8"/>
      <c r="AZ28" s="8"/>
      <c r="BA28" s="8"/>
      <c r="BB28" s="8"/>
      <c r="BC28" s="8"/>
      <c r="BD28" s="80"/>
      <c r="BE28" s="80"/>
      <c r="BF28" s="82"/>
      <c r="BG28" s="83"/>
      <c r="BH28" s="84"/>
      <c r="BI28" s="8"/>
      <c r="BJ28" s="8"/>
      <c r="BK28" s="8"/>
      <c r="BL28" s="80"/>
      <c r="BM28" s="78"/>
      <c r="BN28" s="8"/>
      <c r="BO28" s="8"/>
      <c r="BP28" s="8"/>
      <c r="BR28" s="8"/>
      <c r="BS28" s="49"/>
      <c r="BT28" s="49"/>
      <c r="BU28" s="49"/>
      <c r="BV28" s="49"/>
      <c r="BW28" s="49"/>
      <c r="BX28" s="49"/>
      <c r="BY28" s="49"/>
      <c r="BZ28" s="49"/>
      <c r="CA28" s="49"/>
      <c r="CB28" s="49"/>
      <c r="CC28" s="49"/>
    </row>
    <row r="29" spans="2:81" ht="39" customHeight="1">
      <c r="B29" s="91"/>
      <c r="C29" s="45" t="s">
        <v>145</v>
      </c>
      <c r="D29" s="64" t="s">
        <v>29</v>
      </c>
      <c r="E29" s="3">
        <v>8</v>
      </c>
      <c r="F29" s="3">
        <v>1</v>
      </c>
      <c r="G29" s="11"/>
      <c r="H29" s="11"/>
      <c r="I29" s="11"/>
      <c r="J29" s="11"/>
      <c r="K29" s="11"/>
      <c r="L29" s="11"/>
      <c r="M29" s="11"/>
      <c r="N29" s="11"/>
      <c r="O29" s="11"/>
      <c r="P29" s="11"/>
      <c r="Q29" s="11"/>
      <c r="R29" s="11"/>
      <c r="S29" s="8"/>
      <c r="U29" s="108"/>
      <c r="V29" s="109"/>
      <c r="W29" s="11"/>
      <c r="X29" s="11"/>
      <c r="Y29" s="11"/>
      <c r="Z29" s="11"/>
      <c r="AA29" s="102"/>
      <c r="AB29" s="11"/>
      <c r="AC29" s="11"/>
      <c r="AD29" s="11"/>
      <c r="AE29" s="11"/>
      <c r="AF29" s="8"/>
      <c r="AG29" s="8"/>
      <c r="AH29" s="8"/>
      <c r="AI29" s="8"/>
      <c r="AJ29" s="8"/>
      <c r="AK29" s="8"/>
      <c r="AL29" s="8"/>
      <c r="AM29" s="8"/>
      <c r="AN29" s="8"/>
      <c r="AO29" s="8"/>
      <c r="AP29" s="8"/>
      <c r="AQ29" s="8"/>
      <c r="AR29" s="8"/>
      <c r="AS29" s="8"/>
      <c r="AT29" s="80"/>
      <c r="AU29" s="8"/>
      <c r="AV29" s="8"/>
      <c r="AW29" s="8"/>
      <c r="AX29" s="8"/>
      <c r="AY29" s="8"/>
      <c r="AZ29" s="8"/>
      <c r="BA29" s="8"/>
      <c r="BB29" s="8"/>
      <c r="BC29" s="8"/>
      <c r="BD29" s="80"/>
      <c r="BE29" s="80"/>
      <c r="BF29" s="82"/>
      <c r="BG29" s="83"/>
      <c r="BH29" s="84"/>
      <c r="BI29" s="8"/>
      <c r="BJ29" s="8"/>
      <c r="BK29" s="8"/>
      <c r="BL29" s="80"/>
      <c r="BM29" s="78"/>
      <c r="BN29" s="8"/>
      <c r="BO29" s="8"/>
      <c r="BP29" s="8"/>
      <c r="BR29" s="8"/>
      <c r="BS29" s="49"/>
      <c r="BT29" s="49"/>
      <c r="BU29" s="49"/>
      <c r="BV29" s="49"/>
      <c r="BW29" s="49"/>
      <c r="BX29" s="49"/>
      <c r="BY29" s="49"/>
      <c r="BZ29" s="49"/>
      <c r="CA29" s="49"/>
      <c r="CB29" s="49"/>
      <c r="CC29" s="49"/>
    </row>
    <row r="30" spans="2:81" ht="39" customHeight="1">
      <c r="B30" s="91"/>
      <c r="C30" s="45" t="s">
        <v>146</v>
      </c>
      <c r="D30" s="64" t="s">
        <v>29</v>
      </c>
      <c r="E30" s="3">
        <v>40</v>
      </c>
      <c r="F30" s="3">
        <v>50</v>
      </c>
      <c r="G30" s="11"/>
      <c r="H30" s="11"/>
      <c r="I30" s="11"/>
      <c r="J30" s="11"/>
      <c r="K30" s="11"/>
      <c r="L30" s="11"/>
      <c r="M30" s="11"/>
      <c r="N30" s="11"/>
      <c r="O30" s="11"/>
      <c r="P30" s="11"/>
      <c r="Q30" s="11"/>
      <c r="R30" s="11"/>
      <c r="S30" s="8"/>
      <c r="U30" s="108"/>
      <c r="V30" s="109"/>
      <c r="W30" s="11"/>
      <c r="X30" s="11"/>
      <c r="Y30" s="11"/>
      <c r="Z30" s="11"/>
      <c r="AA30" s="102"/>
      <c r="AB30" s="11"/>
      <c r="AC30" s="11"/>
      <c r="AD30" s="11"/>
      <c r="AE30" s="11"/>
      <c r="AF30" s="8"/>
      <c r="AG30" s="8"/>
      <c r="AH30" s="8"/>
      <c r="AI30" s="8"/>
      <c r="AJ30" s="8"/>
      <c r="AK30" s="8"/>
      <c r="AL30" s="8"/>
      <c r="AM30" s="8"/>
      <c r="AN30" s="8"/>
      <c r="AO30" s="8"/>
      <c r="AP30" s="8"/>
      <c r="AQ30" s="8"/>
      <c r="AR30" s="8"/>
      <c r="AS30" s="8"/>
      <c r="AT30" s="80"/>
      <c r="AU30" s="8"/>
      <c r="AV30" s="8"/>
      <c r="AW30" s="8"/>
      <c r="AX30" s="8"/>
      <c r="AY30" s="8"/>
      <c r="AZ30" s="8"/>
      <c r="BA30" s="8"/>
      <c r="BB30" s="8"/>
      <c r="BC30" s="8"/>
      <c r="BD30" s="80"/>
      <c r="BE30" s="80"/>
      <c r="BF30" s="82"/>
      <c r="BG30" s="83"/>
      <c r="BH30" s="84"/>
      <c r="BI30" s="8"/>
      <c r="BJ30" s="8"/>
      <c r="BK30" s="8"/>
      <c r="BL30" s="80"/>
      <c r="BM30" s="78"/>
      <c r="BN30" s="8"/>
      <c r="BO30" s="8"/>
      <c r="BP30" s="8"/>
      <c r="BR30" s="8"/>
      <c r="BS30" s="49"/>
      <c r="BT30" s="49"/>
      <c r="BU30" s="49"/>
      <c r="BV30" s="49"/>
      <c r="BW30" s="49"/>
      <c r="BX30" s="49"/>
      <c r="BY30" s="49"/>
      <c r="BZ30" s="49"/>
      <c r="CA30" s="49"/>
      <c r="CB30" s="49"/>
      <c r="CC30" s="49"/>
    </row>
    <row r="31" spans="2:81" ht="39" customHeight="1">
      <c r="B31" s="91"/>
      <c r="C31" s="45" t="s">
        <v>147</v>
      </c>
      <c r="D31" s="64" t="s">
        <v>29</v>
      </c>
      <c r="E31" s="3">
        <v>10</v>
      </c>
      <c r="F31" s="3">
        <v>1.25</v>
      </c>
      <c r="G31" s="11"/>
      <c r="H31" s="11"/>
      <c r="I31" s="11"/>
      <c r="J31" s="11"/>
      <c r="K31" s="11"/>
      <c r="L31" s="11"/>
      <c r="M31" s="11"/>
      <c r="N31" s="11"/>
      <c r="O31" s="11"/>
      <c r="P31" s="11"/>
      <c r="Q31" s="11"/>
      <c r="R31" s="11"/>
      <c r="S31" s="8"/>
      <c r="U31" s="108"/>
      <c r="V31" s="109"/>
      <c r="W31" s="11"/>
      <c r="X31" s="11"/>
      <c r="Y31" s="11"/>
      <c r="Z31" s="11"/>
      <c r="AA31" s="102"/>
      <c r="AB31" s="11"/>
      <c r="AC31" s="11"/>
      <c r="AD31" s="11"/>
      <c r="AE31" s="11"/>
      <c r="AF31" s="8"/>
      <c r="AG31" s="8"/>
      <c r="AH31" s="8"/>
      <c r="AI31" s="8"/>
      <c r="AJ31" s="8"/>
      <c r="AK31" s="8"/>
      <c r="AL31" s="8"/>
      <c r="AM31" s="8"/>
      <c r="AN31" s="8"/>
      <c r="AO31" s="8"/>
      <c r="AP31" s="8"/>
      <c r="AQ31" s="8"/>
      <c r="AR31" s="8"/>
      <c r="AS31" s="8"/>
      <c r="AT31" s="80"/>
      <c r="AU31" s="8"/>
      <c r="AV31" s="8"/>
      <c r="AW31" s="8"/>
      <c r="AX31" s="8"/>
      <c r="AY31" s="8"/>
      <c r="AZ31" s="8"/>
      <c r="BA31" s="8"/>
      <c r="BB31" s="8"/>
      <c r="BC31" s="8"/>
      <c r="BD31" s="80"/>
      <c r="BE31" s="80"/>
      <c r="BF31" s="82"/>
      <c r="BG31" s="83"/>
      <c r="BH31" s="84"/>
      <c r="BI31" s="8"/>
      <c r="BJ31" s="8"/>
      <c r="BK31" s="8"/>
      <c r="BL31" s="80"/>
      <c r="BM31" s="78"/>
      <c r="BN31" s="8"/>
      <c r="BO31" s="8"/>
      <c r="BP31" s="8"/>
      <c r="BR31" s="8"/>
      <c r="BS31" s="49"/>
      <c r="BT31" s="49"/>
      <c r="BU31" s="49"/>
      <c r="BV31" s="49"/>
      <c r="BW31" s="49"/>
      <c r="BX31" s="49"/>
      <c r="BY31" s="49"/>
      <c r="BZ31" s="49"/>
      <c r="CA31" s="49"/>
      <c r="CB31" s="49"/>
      <c r="CC31" s="49"/>
    </row>
    <row r="32" spans="2:81" ht="39" customHeight="1">
      <c r="B32" s="91"/>
      <c r="C32" s="45" t="s">
        <v>148</v>
      </c>
      <c r="D32" s="64" t="s">
        <v>29</v>
      </c>
      <c r="E32" s="3">
        <v>18</v>
      </c>
      <c r="F32" s="3">
        <v>2.25</v>
      </c>
      <c r="G32" s="11"/>
      <c r="H32" s="11"/>
      <c r="I32" s="11"/>
      <c r="J32" s="11"/>
      <c r="K32" s="11"/>
      <c r="L32" s="11"/>
      <c r="M32" s="11"/>
      <c r="N32" s="11"/>
      <c r="O32" s="11"/>
      <c r="P32" s="11"/>
      <c r="Q32" s="11"/>
      <c r="R32" s="11"/>
      <c r="S32" s="8"/>
      <c r="U32" s="108"/>
      <c r="V32" s="109"/>
      <c r="W32" s="11"/>
      <c r="X32" s="11"/>
      <c r="Y32" s="11"/>
      <c r="Z32" s="11"/>
      <c r="AA32" s="102"/>
      <c r="AB32" s="11"/>
      <c r="AC32" s="11"/>
      <c r="AD32" s="11"/>
      <c r="AE32" s="11"/>
      <c r="AF32" s="8"/>
      <c r="AG32" s="8"/>
      <c r="AH32" s="8"/>
      <c r="AI32" s="8"/>
      <c r="AJ32" s="8"/>
      <c r="AK32" s="8"/>
      <c r="AL32" s="8"/>
      <c r="AM32" s="8"/>
      <c r="AN32" s="8"/>
      <c r="AO32" s="8"/>
      <c r="AP32" s="8"/>
      <c r="AQ32" s="8"/>
      <c r="AR32" s="8"/>
      <c r="AS32" s="8"/>
      <c r="AT32" s="80"/>
      <c r="AU32" s="8"/>
      <c r="AV32" s="8"/>
      <c r="AW32" s="8"/>
      <c r="AX32" s="8"/>
      <c r="AY32" s="8"/>
      <c r="AZ32" s="8"/>
      <c r="BA32" s="8"/>
      <c r="BB32" s="8"/>
      <c r="BC32" s="8"/>
      <c r="BD32" s="80"/>
      <c r="BE32" s="80"/>
      <c r="BF32" s="82"/>
      <c r="BG32" s="83"/>
      <c r="BH32" s="84"/>
      <c r="BI32" s="8"/>
      <c r="BJ32" s="8"/>
      <c r="BK32" s="8"/>
      <c r="BL32" s="80"/>
      <c r="BM32" s="78"/>
      <c r="BN32" s="8"/>
      <c r="BO32" s="8"/>
      <c r="BP32" s="8"/>
      <c r="BR32" s="8"/>
      <c r="BS32" s="49"/>
      <c r="BT32" s="49"/>
      <c r="BU32" s="49"/>
      <c r="BV32" s="49"/>
      <c r="BW32" s="49"/>
      <c r="BX32" s="49"/>
      <c r="BY32" s="49"/>
      <c r="BZ32" s="49"/>
      <c r="CA32" s="49"/>
      <c r="CB32" s="49"/>
      <c r="CC32" s="49"/>
    </row>
    <row r="33" spans="2:81" ht="39" customHeight="1">
      <c r="B33" s="91"/>
      <c r="C33" s="45" t="s">
        <v>149</v>
      </c>
      <c r="D33" s="64" t="s">
        <v>29</v>
      </c>
      <c r="E33" s="3">
        <v>40</v>
      </c>
      <c r="F33" s="3">
        <v>5</v>
      </c>
      <c r="G33" s="11"/>
      <c r="H33" s="11"/>
      <c r="I33" s="11"/>
      <c r="J33" s="11"/>
      <c r="K33" s="11"/>
      <c r="L33" s="11"/>
      <c r="M33" s="11"/>
      <c r="N33" s="11"/>
      <c r="O33" s="11"/>
      <c r="P33" s="11"/>
      <c r="Q33" s="11"/>
      <c r="R33" s="11"/>
      <c r="S33" s="8"/>
      <c r="U33" s="108"/>
      <c r="V33" s="109"/>
      <c r="W33" s="11"/>
      <c r="X33" s="11"/>
      <c r="Y33" s="11"/>
      <c r="Z33" s="11"/>
      <c r="AA33" s="102"/>
      <c r="AB33" s="11"/>
      <c r="AC33" s="11"/>
      <c r="AD33" s="11"/>
      <c r="AE33" s="11"/>
      <c r="AF33" s="8"/>
      <c r="AG33" s="8"/>
      <c r="AH33" s="8"/>
      <c r="AI33" s="8"/>
      <c r="AJ33" s="8"/>
      <c r="AK33" s="8"/>
      <c r="AL33" s="8"/>
      <c r="AM33" s="8"/>
      <c r="AN33" s="8"/>
      <c r="AO33" s="8"/>
      <c r="AP33" s="8"/>
      <c r="AQ33" s="8"/>
      <c r="AR33" s="8"/>
      <c r="AS33" s="8"/>
      <c r="AT33" s="80"/>
      <c r="AU33" s="8"/>
      <c r="AV33" s="8"/>
      <c r="AW33" s="8"/>
      <c r="AX33" s="8"/>
      <c r="AY33" s="8"/>
      <c r="AZ33" s="8"/>
      <c r="BA33" s="8"/>
      <c r="BB33" s="8"/>
      <c r="BC33" s="8"/>
      <c r="BD33" s="80"/>
      <c r="BE33" s="80"/>
      <c r="BF33" s="82"/>
      <c r="BG33" s="83"/>
      <c r="BH33" s="84"/>
      <c r="BI33" s="8"/>
      <c r="BJ33" s="8"/>
      <c r="BK33" s="8"/>
      <c r="BL33" s="80"/>
      <c r="BM33" s="78"/>
      <c r="BN33" s="8"/>
      <c r="BO33" s="8"/>
      <c r="BP33" s="8"/>
      <c r="BR33" s="8"/>
      <c r="BS33" s="49"/>
      <c r="BT33" s="49"/>
      <c r="BU33" s="49"/>
      <c r="BV33" s="49"/>
      <c r="BW33" s="49"/>
      <c r="BX33" s="49"/>
      <c r="BY33" s="49"/>
      <c r="BZ33" s="49"/>
      <c r="CA33" s="49"/>
      <c r="CB33" s="49"/>
      <c r="CC33" s="49"/>
    </row>
    <row r="34" spans="2:81" ht="39" customHeight="1">
      <c r="B34" s="104" t="s">
        <v>13</v>
      </c>
      <c r="C34" s="65" t="s">
        <v>150</v>
      </c>
      <c r="D34" s="33" t="s">
        <v>62</v>
      </c>
      <c r="E34" s="3">
        <v>4</v>
      </c>
      <c r="F34" s="3">
        <v>0.5</v>
      </c>
      <c r="G34" s="11"/>
      <c r="H34" s="11"/>
      <c r="I34" s="11"/>
      <c r="J34" s="11"/>
      <c r="K34" s="11"/>
      <c r="L34" s="11"/>
      <c r="M34" s="11"/>
      <c r="N34" s="11"/>
      <c r="O34" s="11"/>
      <c r="P34" s="11"/>
      <c r="Q34" s="11"/>
      <c r="R34" s="11"/>
      <c r="S34" s="8"/>
      <c r="U34" s="108"/>
      <c r="V34" s="109"/>
      <c r="W34" s="11"/>
      <c r="X34" s="11"/>
      <c r="Y34" s="11"/>
      <c r="Z34" s="11"/>
      <c r="AA34" s="102"/>
      <c r="AB34" s="11"/>
      <c r="AC34" s="11"/>
      <c r="AD34" s="11"/>
      <c r="AE34" s="11"/>
      <c r="AF34" s="8"/>
      <c r="AG34" s="8"/>
      <c r="AH34" s="8"/>
      <c r="AI34" s="8"/>
      <c r="AJ34" s="8"/>
      <c r="AK34" s="8"/>
      <c r="AL34" s="8"/>
      <c r="AM34" s="8"/>
      <c r="AN34" s="8"/>
      <c r="AO34" s="8"/>
      <c r="AP34" s="8"/>
      <c r="AQ34" s="8"/>
      <c r="AR34" s="8"/>
      <c r="AS34" s="8"/>
      <c r="AT34" s="80"/>
      <c r="AU34" s="8"/>
      <c r="AV34" s="8"/>
      <c r="AW34" s="8"/>
      <c r="AX34" s="8"/>
      <c r="AY34" s="8"/>
      <c r="AZ34" s="8"/>
      <c r="BA34" s="8"/>
      <c r="BB34" s="8"/>
      <c r="BC34" s="8"/>
      <c r="BD34" s="80"/>
      <c r="BE34" s="80"/>
      <c r="BF34" s="82"/>
      <c r="BG34" s="83"/>
      <c r="BH34" s="84"/>
      <c r="BI34" s="8"/>
      <c r="BJ34" s="8"/>
      <c r="BK34" s="8"/>
      <c r="BL34" s="80"/>
      <c r="BM34" s="78"/>
      <c r="BN34" s="8"/>
      <c r="BO34" s="8"/>
      <c r="BP34" s="8"/>
      <c r="BR34" s="8"/>
      <c r="BS34" s="49"/>
      <c r="BT34" s="49"/>
      <c r="BU34" s="49"/>
      <c r="BV34" s="49"/>
      <c r="BW34" s="49"/>
      <c r="BX34" s="49"/>
      <c r="BY34" s="49"/>
      <c r="BZ34" s="49"/>
      <c r="CA34" s="49"/>
      <c r="CB34" s="49"/>
      <c r="CC34" s="49"/>
    </row>
    <row r="35" spans="2:81" ht="39" customHeight="1">
      <c r="B35" s="104"/>
      <c r="C35" s="65" t="s">
        <v>151</v>
      </c>
      <c r="D35" s="64" t="s">
        <v>29</v>
      </c>
      <c r="E35" s="3">
        <v>32</v>
      </c>
      <c r="F35" s="3">
        <v>4</v>
      </c>
      <c r="G35" s="11"/>
      <c r="H35" s="11"/>
      <c r="I35" s="11"/>
      <c r="J35" s="11"/>
      <c r="K35" s="11"/>
      <c r="L35" s="11"/>
      <c r="M35" s="11"/>
      <c r="N35" s="11"/>
      <c r="O35" s="11"/>
      <c r="P35" s="11"/>
      <c r="Q35" s="11"/>
      <c r="R35" s="11"/>
      <c r="S35" s="8"/>
      <c r="U35" s="108"/>
      <c r="V35" s="109"/>
      <c r="W35" s="11"/>
      <c r="X35" s="11"/>
      <c r="Y35" s="11"/>
      <c r="Z35" s="11"/>
      <c r="AA35" s="102"/>
      <c r="AB35" s="11"/>
      <c r="AC35" s="11"/>
      <c r="AD35" s="11"/>
      <c r="AE35" s="11"/>
      <c r="AF35" s="8"/>
      <c r="AG35" s="8"/>
      <c r="AH35" s="8"/>
      <c r="AI35" s="8"/>
      <c r="AJ35" s="8"/>
      <c r="AK35" s="8"/>
      <c r="AL35" s="8"/>
      <c r="AM35" s="8"/>
      <c r="AN35" s="8"/>
      <c r="AO35" s="8"/>
      <c r="AP35" s="8"/>
      <c r="AQ35" s="8"/>
      <c r="AR35" s="8"/>
      <c r="AS35" s="8"/>
      <c r="AT35" s="80"/>
      <c r="AU35" s="8"/>
      <c r="AV35" s="8"/>
      <c r="AW35" s="8"/>
      <c r="AX35" s="8"/>
      <c r="AY35" s="8"/>
      <c r="AZ35" s="8"/>
      <c r="BA35" s="8"/>
      <c r="BB35" s="8"/>
      <c r="BC35" s="8"/>
      <c r="BD35" s="80"/>
      <c r="BE35" s="80"/>
      <c r="BF35" s="82"/>
      <c r="BG35" s="83"/>
      <c r="BH35" s="84"/>
      <c r="BI35" s="8"/>
      <c r="BJ35" s="8"/>
      <c r="BK35" s="8"/>
      <c r="BL35" s="80"/>
      <c r="BM35" s="78"/>
      <c r="BN35" s="8"/>
      <c r="BO35" s="8"/>
      <c r="BP35" s="8"/>
      <c r="BR35" s="8"/>
      <c r="BS35" s="49"/>
      <c r="BT35" s="49"/>
      <c r="BU35" s="49"/>
      <c r="BV35" s="49"/>
      <c r="BW35" s="49"/>
      <c r="BX35" s="49"/>
      <c r="BY35" s="49"/>
      <c r="BZ35" s="49"/>
      <c r="CA35" s="49"/>
      <c r="CB35" s="49"/>
      <c r="CC35" s="49"/>
    </row>
    <row r="36" spans="2:81" ht="39" customHeight="1">
      <c r="B36" s="104"/>
      <c r="C36" s="59" t="s">
        <v>152</v>
      </c>
      <c r="D36" s="64" t="s">
        <v>29</v>
      </c>
      <c r="E36" s="3">
        <v>2</v>
      </c>
      <c r="F36" s="3">
        <v>0.3</v>
      </c>
      <c r="G36" s="11"/>
      <c r="H36" s="11"/>
      <c r="I36" s="11"/>
      <c r="J36" s="11"/>
      <c r="K36" s="11"/>
      <c r="L36" s="11"/>
      <c r="M36" s="11"/>
      <c r="N36" s="11"/>
      <c r="O36" s="11"/>
      <c r="P36" s="11"/>
      <c r="Q36" s="11"/>
      <c r="R36" s="11"/>
      <c r="S36" s="8"/>
      <c r="U36" s="108"/>
      <c r="V36" s="109"/>
      <c r="W36" s="11"/>
      <c r="X36" s="11"/>
      <c r="Y36" s="11"/>
      <c r="Z36" s="11"/>
      <c r="AA36" s="102"/>
      <c r="AB36" s="11"/>
      <c r="AC36" s="11"/>
      <c r="AD36" s="11"/>
      <c r="AE36" s="11"/>
      <c r="AF36" s="8"/>
      <c r="AG36" s="8"/>
      <c r="AH36" s="8"/>
      <c r="AI36" s="8"/>
      <c r="AJ36" s="8"/>
      <c r="AK36" s="8"/>
      <c r="AL36" s="8"/>
      <c r="AM36" s="8"/>
      <c r="AN36" s="8"/>
      <c r="AO36" s="8"/>
      <c r="AP36" s="8"/>
      <c r="AQ36" s="8"/>
      <c r="AR36" s="8"/>
      <c r="AS36" s="8"/>
      <c r="AT36" s="80"/>
      <c r="AU36" s="8"/>
      <c r="AV36" s="8"/>
      <c r="AW36" s="8"/>
      <c r="AX36" s="8"/>
      <c r="AY36" s="8"/>
      <c r="AZ36" s="8"/>
      <c r="BA36" s="8"/>
      <c r="BB36" s="8"/>
      <c r="BC36" s="8"/>
      <c r="BD36" s="80"/>
      <c r="BE36" s="80"/>
      <c r="BF36" s="82"/>
      <c r="BG36" s="83"/>
      <c r="BH36" s="84"/>
      <c r="BI36" s="8"/>
      <c r="BJ36" s="8"/>
      <c r="BK36" s="8"/>
      <c r="BL36" s="80"/>
      <c r="BM36" s="78"/>
      <c r="BN36" s="8"/>
      <c r="BO36" s="8"/>
      <c r="BP36" s="8"/>
      <c r="BR36" s="8"/>
      <c r="BS36" s="49"/>
      <c r="BT36" s="49"/>
      <c r="BU36" s="49"/>
      <c r="BV36" s="49"/>
      <c r="BW36" s="49"/>
      <c r="BX36" s="49"/>
      <c r="BY36" s="49"/>
      <c r="BZ36" s="49"/>
      <c r="CA36" s="49"/>
      <c r="CB36" s="49"/>
      <c r="CC36" s="49"/>
    </row>
    <row r="37" spans="2:81" ht="39" customHeight="1">
      <c r="B37" s="104"/>
      <c r="C37" s="59" t="s">
        <v>153</v>
      </c>
      <c r="D37" s="33" t="s">
        <v>62</v>
      </c>
      <c r="E37" s="3">
        <v>2</v>
      </c>
      <c r="F37" s="3">
        <v>0.3</v>
      </c>
      <c r="G37" s="11"/>
      <c r="H37" s="11"/>
      <c r="I37" s="11"/>
      <c r="J37" s="11"/>
      <c r="K37" s="11"/>
      <c r="L37" s="11"/>
      <c r="M37" s="11"/>
      <c r="N37" s="11"/>
      <c r="O37" s="11"/>
      <c r="P37" s="11"/>
      <c r="Q37" s="11"/>
      <c r="R37" s="11"/>
      <c r="S37" s="8"/>
      <c r="U37" s="108"/>
      <c r="V37" s="109"/>
      <c r="W37" s="11"/>
      <c r="X37" s="11"/>
      <c r="Y37" s="11"/>
      <c r="Z37" s="11"/>
      <c r="AA37" s="102"/>
      <c r="AB37" s="11"/>
      <c r="AC37" s="11"/>
      <c r="AD37" s="11"/>
      <c r="AE37" s="11"/>
      <c r="AF37" s="8"/>
      <c r="AG37" s="8"/>
      <c r="AH37" s="8"/>
      <c r="AI37" s="8"/>
      <c r="AJ37" s="8"/>
      <c r="AK37" s="8"/>
      <c r="AL37" s="8"/>
      <c r="AM37" s="8"/>
      <c r="AN37" s="8"/>
      <c r="AO37" s="8"/>
      <c r="AP37" s="8"/>
      <c r="AQ37" s="8"/>
      <c r="AR37" s="8"/>
      <c r="AS37" s="8"/>
      <c r="AT37" s="80"/>
      <c r="AU37" s="8"/>
      <c r="AV37" s="8"/>
      <c r="AW37" s="8"/>
      <c r="AX37" s="8"/>
      <c r="AY37" s="8"/>
      <c r="AZ37" s="8"/>
      <c r="BA37" s="8"/>
      <c r="BB37" s="8"/>
      <c r="BC37" s="8"/>
      <c r="BD37" s="80"/>
      <c r="BE37" s="80"/>
      <c r="BF37" s="82"/>
      <c r="BG37" s="83"/>
      <c r="BH37" s="84"/>
      <c r="BI37" s="8"/>
      <c r="BJ37" s="8"/>
      <c r="BK37" s="8"/>
      <c r="BL37" s="80"/>
      <c r="BM37" s="78"/>
      <c r="BN37" s="8"/>
      <c r="BO37" s="8"/>
      <c r="BP37" s="8"/>
      <c r="BR37" s="8"/>
      <c r="BS37" s="49"/>
      <c r="BT37" s="49"/>
      <c r="BU37" s="49"/>
      <c r="BV37" s="49"/>
      <c r="BW37" s="49"/>
      <c r="BX37" s="49"/>
      <c r="BY37" s="49"/>
      <c r="BZ37" s="49"/>
      <c r="CA37" s="49"/>
      <c r="CB37" s="49"/>
      <c r="CC37" s="49"/>
    </row>
    <row r="38" spans="2:81" ht="39" customHeight="1">
      <c r="B38" s="104"/>
      <c r="C38" s="65" t="s">
        <v>154</v>
      </c>
      <c r="D38" s="33" t="s">
        <v>62</v>
      </c>
      <c r="E38" s="3">
        <v>32</v>
      </c>
      <c r="F38" s="3">
        <v>4</v>
      </c>
      <c r="G38" s="11"/>
      <c r="H38" s="11"/>
      <c r="I38" s="11"/>
      <c r="J38" s="11"/>
      <c r="K38" s="11"/>
      <c r="L38" s="11"/>
      <c r="M38" s="11"/>
      <c r="N38" s="11"/>
      <c r="O38" s="11"/>
      <c r="P38" s="11"/>
      <c r="Q38" s="11"/>
      <c r="R38" s="11"/>
      <c r="S38" s="8"/>
      <c r="U38" s="108"/>
      <c r="V38" s="109"/>
      <c r="W38" s="11"/>
      <c r="X38" s="11"/>
      <c r="Y38" s="11"/>
      <c r="Z38" s="11"/>
      <c r="AA38" s="102"/>
      <c r="AB38" s="11"/>
      <c r="AC38" s="11"/>
      <c r="AD38" s="11"/>
      <c r="AE38" s="11"/>
      <c r="AF38" s="8"/>
      <c r="AG38" s="8"/>
      <c r="AH38" s="8"/>
      <c r="AI38" s="8"/>
      <c r="AJ38" s="8"/>
      <c r="AK38" s="8"/>
      <c r="AL38" s="8"/>
      <c r="AM38" s="8"/>
      <c r="AN38" s="8"/>
      <c r="AO38" s="8"/>
      <c r="AP38" s="8"/>
      <c r="AQ38" s="8"/>
      <c r="AR38" s="8"/>
      <c r="AS38" s="8"/>
      <c r="AT38" s="80"/>
      <c r="AU38" s="8"/>
      <c r="AV38" s="8"/>
      <c r="AW38" s="8"/>
      <c r="AX38" s="8"/>
      <c r="AY38" s="8"/>
      <c r="AZ38" s="8"/>
      <c r="BA38" s="8"/>
      <c r="BB38" s="8"/>
      <c r="BC38" s="8"/>
      <c r="BD38" s="80"/>
      <c r="BE38" s="80"/>
      <c r="BF38" s="82"/>
      <c r="BG38" s="83"/>
      <c r="BH38" s="84"/>
      <c r="BI38" s="8"/>
      <c r="BJ38" s="8"/>
      <c r="BK38" s="8"/>
      <c r="BL38" s="80"/>
      <c r="BM38" s="78"/>
      <c r="BN38" s="8"/>
      <c r="BO38" s="8"/>
      <c r="BP38" s="8"/>
      <c r="BR38" s="8"/>
      <c r="BS38" s="49"/>
      <c r="BT38" s="49"/>
      <c r="BU38" s="49"/>
      <c r="BV38" s="49"/>
      <c r="BW38" s="49"/>
      <c r="BX38" s="49"/>
      <c r="BY38" s="49"/>
      <c r="BZ38" s="49"/>
      <c r="CA38" s="49"/>
      <c r="CB38" s="49"/>
      <c r="CC38" s="49"/>
    </row>
    <row r="39" spans="2:81" ht="39" customHeight="1">
      <c r="B39" s="104"/>
      <c r="C39" s="60" t="s">
        <v>68</v>
      </c>
      <c r="D39" s="33" t="s">
        <v>62</v>
      </c>
      <c r="E39" s="3" t="s">
        <v>110</v>
      </c>
      <c r="F39" s="3" t="s">
        <v>110</v>
      </c>
      <c r="G39" s="11"/>
      <c r="H39" s="11"/>
      <c r="I39" s="11"/>
      <c r="J39" s="11"/>
      <c r="K39" s="11"/>
      <c r="L39" s="11"/>
      <c r="M39" s="11"/>
      <c r="N39" s="11"/>
      <c r="O39" s="11"/>
      <c r="P39" s="11"/>
      <c r="Q39" s="11"/>
      <c r="R39" s="11"/>
      <c r="S39" s="8"/>
      <c r="U39" s="108"/>
      <c r="V39" s="109"/>
      <c r="W39" s="11"/>
      <c r="X39" s="11"/>
      <c r="Y39" s="11"/>
      <c r="Z39" s="11"/>
      <c r="AA39" s="102"/>
      <c r="AB39" s="11"/>
      <c r="AC39" s="11"/>
      <c r="AD39" s="11"/>
      <c r="AE39" s="11"/>
      <c r="AF39" s="8"/>
      <c r="AG39" s="8"/>
      <c r="AH39" s="8"/>
      <c r="AI39" s="8"/>
      <c r="AJ39" s="8"/>
      <c r="AK39" s="8"/>
      <c r="AL39" s="8"/>
      <c r="AM39" s="8"/>
      <c r="AN39" s="8"/>
      <c r="AO39" s="8"/>
      <c r="AP39" s="8"/>
      <c r="AQ39" s="8"/>
      <c r="AR39" s="8"/>
      <c r="AS39" s="8"/>
      <c r="AT39" s="80"/>
      <c r="AU39" s="8"/>
      <c r="AV39" s="8"/>
      <c r="AW39" s="8"/>
      <c r="AX39" s="8"/>
      <c r="AY39" s="8"/>
      <c r="AZ39" s="8"/>
      <c r="BA39" s="8"/>
      <c r="BB39" s="8"/>
      <c r="BC39" s="8"/>
      <c r="BD39" s="80"/>
      <c r="BE39" s="80"/>
      <c r="BF39" s="82"/>
      <c r="BG39" s="83"/>
      <c r="BH39" s="84"/>
      <c r="BI39" s="8"/>
      <c r="BJ39" s="8"/>
      <c r="BK39" s="8"/>
      <c r="BL39" s="80"/>
      <c r="BM39" s="78"/>
      <c r="BN39" s="8"/>
      <c r="BO39" s="8"/>
      <c r="BP39" s="8"/>
      <c r="BR39" s="8"/>
      <c r="BS39" s="49"/>
      <c r="BT39" s="49"/>
      <c r="BU39" s="49"/>
      <c r="BV39" s="49"/>
      <c r="BW39" s="49"/>
      <c r="BX39" s="49"/>
      <c r="BY39" s="49"/>
      <c r="BZ39" s="49"/>
      <c r="CA39" s="49"/>
      <c r="CB39" s="49"/>
      <c r="CC39" s="49"/>
    </row>
    <row r="40" spans="2:81" ht="39" customHeight="1">
      <c r="B40" s="104"/>
      <c r="C40" s="65" t="s">
        <v>155</v>
      </c>
      <c r="D40" s="33" t="s">
        <v>62</v>
      </c>
      <c r="E40" s="3">
        <v>40</v>
      </c>
      <c r="F40" s="3">
        <v>5</v>
      </c>
      <c r="G40" s="12"/>
      <c r="H40" s="12"/>
      <c r="I40" s="12"/>
      <c r="J40" s="12"/>
      <c r="K40" s="12"/>
      <c r="L40" s="12"/>
      <c r="M40" s="12"/>
      <c r="N40" s="12"/>
      <c r="O40" s="12"/>
      <c r="P40" s="12"/>
      <c r="Q40" s="12"/>
      <c r="R40" s="12"/>
      <c r="S40" s="9"/>
      <c r="T40" s="13"/>
      <c r="U40" s="110"/>
      <c r="V40" s="111"/>
      <c r="W40" s="12"/>
      <c r="X40" s="12"/>
      <c r="Y40" s="12"/>
      <c r="Z40" s="12"/>
      <c r="AA40" s="103"/>
      <c r="AB40" s="12"/>
      <c r="AC40" s="12"/>
      <c r="AD40" s="12"/>
      <c r="AE40" s="12"/>
      <c r="AF40" s="9"/>
      <c r="AG40" s="9"/>
      <c r="AH40" s="9"/>
      <c r="AI40" s="9"/>
      <c r="AJ40" s="9"/>
      <c r="AK40" s="9"/>
      <c r="AL40" s="9"/>
      <c r="AM40" s="9"/>
      <c r="AN40" s="9"/>
      <c r="AO40" s="9"/>
      <c r="AP40" s="9"/>
      <c r="AQ40" s="9"/>
      <c r="AR40" s="9"/>
      <c r="AS40" s="9"/>
      <c r="AT40" s="81"/>
      <c r="AU40" s="9"/>
      <c r="AV40" s="9"/>
      <c r="AW40" s="9"/>
      <c r="AX40" s="9"/>
      <c r="AY40" s="9"/>
      <c r="AZ40" s="9"/>
      <c r="BA40" s="9"/>
      <c r="BB40" s="9"/>
      <c r="BC40" s="9"/>
      <c r="BD40" s="81"/>
      <c r="BE40" s="81"/>
      <c r="BF40" s="85"/>
      <c r="BG40" s="86"/>
      <c r="BH40" s="87"/>
      <c r="BI40" s="9"/>
      <c r="BJ40" s="9"/>
      <c r="BK40" s="9"/>
      <c r="BL40" s="81"/>
      <c r="BM40" s="79"/>
      <c r="BN40" s="9"/>
      <c r="BO40" s="9"/>
      <c r="BP40" s="9"/>
      <c r="BQ40" s="13"/>
      <c r="BR40" s="9"/>
      <c r="BS40" s="53"/>
      <c r="BT40" s="53"/>
      <c r="BU40" s="53"/>
      <c r="BV40" s="53"/>
      <c r="BW40" s="53"/>
      <c r="BX40" s="53"/>
      <c r="BY40" s="53"/>
      <c r="BZ40" s="53"/>
      <c r="CA40" s="53"/>
      <c r="CB40" s="53"/>
      <c r="CC40" s="53"/>
    </row>
    <row r="43" spans="2:81" ht="43.5">
      <c r="B43" s="26" t="s">
        <v>70</v>
      </c>
    </row>
    <row r="44" spans="2:81" ht="87">
      <c r="B44" s="26" t="s">
        <v>71</v>
      </c>
    </row>
    <row r="45" spans="2:81" ht="144.75">
      <c r="B45" s="26" t="s">
        <v>72</v>
      </c>
    </row>
  </sheetData>
  <mergeCells count="11">
    <mergeCell ref="BL3:BL40"/>
    <mergeCell ref="BF3:BH40"/>
    <mergeCell ref="BE3:BE40"/>
    <mergeCell ref="BD3:BD40"/>
    <mergeCell ref="AT3:AT40"/>
    <mergeCell ref="AA3:AA40"/>
    <mergeCell ref="B34:B40"/>
    <mergeCell ref="B3:B9"/>
    <mergeCell ref="B10:B24"/>
    <mergeCell ref="B25:B33"/>
    <mergeCell ref="U3:V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2025-11-19T20:55:05Z</dcterms:created>
  <dcterms:modified xsi:type="dcterms:W3CDTF">2026-05-22T12:53:28Z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ada57b-5de1-4d5e-9065-d9856b283596_Enabled">
    <vt:lpwstr>true</vt:lpwstr>
  </property>
  <property fmtid="{D5CDD505-2E9C-101B-9397-08002B2CF9AE}" pid="3" name="MSIP_Label_daada57b-5de1-4d5e-9065-d9856b283596_SetDate">
    <vt:lpwstr>2026-04-16T18:49:59Z</vt:lpwstr>
  </property>
  <property fmtid="{D5CDD505-2E9C-101B-9397-08002B2CF9AE}" pid="4" name="MSIP_Label_daada57b-5de1-4d5e-9065-d9856b283596_Method">
    <vt:lpwstr>Standard</vt:lpwstr>
  </property>
  <property fmtid="{D5CDD505-2E9C-101B-9397-08002B2CF9AE}" pid="5" name="MSIP_Label_daada57b-5de1-4d5e-9065-d9856b283596_Name">
    <vt:lpwstr>Uso Interno</vt:lpwstr>
  </property>
  <property fmtid="{D5CDD505-2E9C-101B-9397-08002B2CF9AE}" pid="6" name="MSIP_Label_daada57b-5de1-4d5e-9065-d9856b283596_SiteId">
    <vt:lpwstr>33d013fb-1132-40fd-ad98-64971fd4b358</vt:lpwstr>
  </property>
  <property fmtid="{D5CDD505-2E9C-101B-9397-08002B2CF9AE}" pid="7" name="MSIP_Label_daada57b-5de1-4d5e-9065-d9856b283596_ActionId">
    <vt:lpwstr>c44310b5-7d05-45b3-970f-7bd9fae20f2a</vt:lpwstr>
  </property>
  <property fmtid="{D5CDD505-2E9C-101B-9397-08002B2CF9AE}" pid="8" name="MSIP_Label_daada57b-5de1-4d5e-9065-d9856b283596_ContentBits">
    <vt:lpwstr>0</vt:lpwstr>
  </property>
  <property fmtid="{D5CDD505-2E9C-101B-9397-08002B2CF9AE}" pid="9" name="MSIP_Label_daada57b-5de1-4d5e-9065-d9856b283596_Tag">
    <vt:lpwstr>10, 3, 0, 2</vt:lpwstr>
  </property>
</Properties>
</file>